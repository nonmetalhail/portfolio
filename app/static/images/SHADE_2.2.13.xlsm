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480" yWindow="105" windowWidth="19320" windowHeight="12120" activeTab="1"/>
  </bookViews>
  <sheets>
    <sheet name="Info" sheetId="8" r:id="rId1"/>
    <sheet name="Entry" sheetId="4" r:id="rId2"/>
    <sheet name="Calcs" sheetId="2" r:id="rId3"/>
    <sheet name="Results" sheetId="7" r:id="rId4"/>
    <sheet name="Solar" sheetId="6" r:id="rId5"/>
    <sheet name="Weather" sheetId="3" r:id="rId6"/>
    <sheet name="Weather B" sheetId="9" r:id="rId7"/>
  </sheets>
  <functionGroups builtInGroupCount="17"/>
  <definedNames>
    <definedName name="altitude">#REF!</definedName>
    <definedName name="azimuth">#REF!</definedName>
    <definedName name="daylength">#REF!</definedName>
    <definedName name="declination">#REF!</definedName>
    <definedName name="diffuse">#REF!</definedName>
    <definedName name="direct">#REF!</definedName>
    <definedName name="gpr">#REF!</definedName>
    <definedName name="hour">#REF!</definedName>
    <definedName name="incidence">#REF!</definedName>
    <definedName name="latitude">#REF!</definedName>
    <definedName name="planangle">#REF!</definedName>
    <definedName name="sunrise">#REF!</definedName>
    <definedName name="surfazim">#REF!</definedName>
    <definedName name="surftilt">#REF!</definedName>
  </definedNames>
  <calcPr calcId="144525"/>
</workbook>
</file>

<file path=xl/calcChain.xml><?xml version="1.0" encoding="utf-8"?>
<calcChain xmlns="http://schemas.openxmlformats.org/spreadsheetml/2006/main">
  <c r="B341" i="2" l="1"/>
  <c r="B366" i="2" s="1"/>
  <c r="C341" i="2"/>
  <c r="C366" i="2" s="1"/>
  <c r="D341" i="2"/>
  <c r="D366" i="2" s="1"/>
  <c r="E341" i="2"/>
  <c r="E366" i="2" s="1"/>
  <c r="F341" i="2"/>
  <c r="F366" i="2" s="1"/>
  <c r="G341" i="2"/>
  <c r="G366" i="2" s="1"/>
  <c r="H341" i="2"/>
  <c r="H366" i="2" s="1"/>
  <c r="I341" i="2"/>
  <c r="I366" i="2" s="1"/>
  <c r="J341" i="2"/>
  <c r="J366" i="2" s="1"/>
  <c r="K341" i="2"/>
  <c r="K366" i="2" s="1"/>
  <c r="L341" i="2"/>
  <c r="L366" i="2" s="1"/>
  <c r="M341" i="2"/>
  <c r="M366" i="2" s="1"/>
  <c r="B342" i="2"/>
  <c r="B367" i="2" s="1"/>
  <c r="C342" i="2"/>
  <c r="C367" i="2" s="1"/>
  <c r="D342" i="2"/>
  <c r="D367" i="2" s="1"/>
  <c r="E342" i="2"/>
  <c r="E367" i="2" s="1"/>
  <c r="F342" i="2"/>
  <c r="F367" i="2" s="1"/>
  <c r="G342" i="2"/>
  <c r="G367" i="2" s="1"/>
  <c r="H342" i="2"/>
  <c r="H367" i="2" s="1"/>
  <c r="I342" i="2"/>
  <c r="I367" i="2" s="1"/>
  <c r="J342" i="2"/>
  <c r="J367" i="2" s="1"/>
  <c r="K342" i="2"/>
  <c r="K367" i="2" s="1"/>
  <c r="L342" i="2"/>
  <c r="L367" i="2" s="1"/>
  <c r="M342" i="2"/>
  <c r="M367" i="2" s="1"/>
  <c r="B343" i="2"/>
  <c r="B368" i="2" s="1"/>
  <c r="C343" i="2"/>
  <c r="C368" i="2" s="1"/>
  <c r="D343" i="2"/>
  <c r="D368" i="2" s="1"/>
  <c r="E343" i="2"/>
  <c r="E368" i="2" s="1"/>
  <c r="F343" i="2"/>
  <c r="F368" i="2" s="1"/>
  <c r="G343" i="2"/>
  <c r="G368" i="2" s="1"/>
  <c r="H343" i="2"/>
  <c r="H368" i="2" s="1"/>
  <c r="I343" i="2"/>
  <c r="I368" i="2" s="1"/>
  <c r="J343" i="2"/>
  <c r="J368" i="2" s="1"/>
  <c r="K343" i="2"/>
  <c r="K368" i="2" s="1"/>
  <c r="L343" i="2"/>
  <c r="L368" i="2" s="1"/>
  <c r="M343" i="2"/>
  <c r="M368" i="2" s="1"/>
  <c r="B344" i="2"/>
  <c r="B369" i="2" s="1"/>
  <c r="C344" i="2"/>
  <c r="C369" i="2" s="1"/>
  <c r="D344" i="2"/>
  <c r="D369" i="2" s="1"/>
  <c r="E344" i="2"/>
  <c r="E369" i="2" s="1"/>
  <c r="F344" i="2"/>
  <c r="F369" i="2" s="1"/>
  <c r="G344" i="2"/>
  <c r="G369" i="2" s="1"/>
  <c r="H344" i="2"/>
  <c r="H369" i="2" s="1"/>
  <c r="I344" i="2"/>
  <c r="I369" i="2" s="1"/>
  <c r="J344" i="2"/>
  <c r="J369" i="2" s="1"/>
  <c r="K344" i="2"/>
  <c r="K369" i="2" s="1"/>
  <c r="L344" i="2"/>
  <c r="L369" i="2" s="1"/>
  <c r="M344" i="2"/>
  <c r="M369" i="2" s="1"/>
  <c r="B345" i="2"/>
  <c r="B370" i="2" s="1"/>
  <c r="C345" i="2"/>
  <c r="C370" i="2" s="1"/>
  <c r="D345" i="2"/>
  <c r="D370" i="2" s="1"/>
  <c r="E345" i="2"/>
  <c r="E370" i="2" s="1"/>
  <c r="F345" i="2"/>
  <c r="F370" i="2" s="1"/>
  <c r="G345" i="2"/>
  <c r="G370" i="2" s="1"/>
  <c r="H345" i="2"/>
  <c r="H370" i="2" s="1"/>
  <c r="I345" i="2"/>
  <c r="I370" i="2" s="1"/>
  <c r="J345" i="2"/>
  <c r="J370" i="2" s="1"/>
  <c r="K345" i="2"/>
  <c r="K370" i="2" s="1"/>
  <c r="L345" i="2"/>
  <c r="L370" i="2" s="1"/>
  <c r="M345" i="2"/>
  <c r="M370" i="2" s="1"/>
  <c r="B346" i="2"/>
  <c r="B371" i="2" s="1"/>
  <c r="C346" i="2"/>
  <c r="C371" i="2" s="1"/>
  <c r="D346" i="2"/>
  <c r="D371" i="2" s="1"/>
  <c r="E346" i="2"/>
  <c r="E371" i="2" s="1"/>
  <c r="F346" i="2"/>
  <c r="F371" i="2" s="1"/>
  <c r="G346" i="2"/>
  <c r="G371" i="2" s="1"/>
  <c r="H346" i="2"/>
  <c r="H371" i="2" s="1"/>
  <c r="I346" i="2"/>
  <c r="I371" i="2" s="1"/>
  <c r="J346" i="2"/>
  <c r="J371" i="2" s="1"/>
  <c r="K346" i="2"/>
  <c r="K371" i="2" s="1"/>
  <c r="L346" i="2"/>
  <c r="L371" i="2" s="1"/>
  <c r="M346" i="2"/>
  <c r="M371" i="2" s="1"/>
  <c r="B347" i="2"/>
  <c r="B372" i="2" s="1"/>
  <c r="C347" i="2"/>
  <c r="C372" i="2" s="1"/>
  <c r="D347" i="2"/>
  <c r="D372" i="2" s="1"/>
  <c r="E347" i="2"/>
  <c r="E372" i="2" s="1"/>
  <c r="F347" i="2"/>
  <c r="F372" i="2" s="1"/>
  <c r="G347" i="2"/>
  <c r="G372" i="2" s="1"/>
  <c r="H347" i="2"/>
  <c r="H372" i="2" s="1"/>
  <c r="I347" i="2"/>
  <c r="I372" i="2" s="1"/>
  <c r="J347" i="2"/>
  <c r="J372" i="2" s="1"/>
  <c r="K347" i="2"/>
  <c r="K372" i="2" s="1"/>
  <c r="L347" i="2"/>
  <c r="L372" i="2" s="1"/>
  <c r="M347" i="2"/>
  <c r="M372" i="2" s="1"/>
  <c r="B348" i="2"/>
  <c r="B373" i="2" s="1"/>
  <c r="C348" i="2"/>
  <c r="C373" i="2" s="1"/>
  <c r="D348" i="2"/>
  <c r="D373" i="2" s="1"/>
  <c r="E348" i="2"/>
  <c r="E373" i="2" s="1"/>
  <c r="F348" i="2"/>
  <c r="F373" i="2" s="1"/>
  <c r="G348" i="2"/>
  <c r="G373" i="2" s="1"/>
  <c r="H348" i="2"/>
  <c r="H373" i="2" s="1"/>
  <c r="I348" i="2"/>
  <c r="I373" i="2" s="1"/>
  <c r="J348" i="2"/>
  <c r="J373" i="2" s="1"/>
  <c r="K348" i="2"/>
  <c r="K373" i="2" s="1"/>
  <c r="L348" i="2"/>
  <c r="L373" i="2" s="1"/>
  <c r="M348" i="2"/>
  <c r="M373" i="2" s="1"/>
  <c r="B349" i="2"/>
  <c r="B374" i="2" s="1"/>
  <c r="C349" i="2"/>
  <c r="C374" i="2" s="1"/>
  <c r="D349" i="2"/>
  <c r="D374" i="2" s="1"/>
  <c r="E349" i="2"/>
  <c r="E374" i="2" s="1"/>
  <c r="F349" i="2"/>
  <c r="F374" i="2" s="1"/>
  <c r="G349" i="2"/>
  <c r="G374" i="2" s="1"/>
  <c r="H349" i="2"/>
  <c r="H374" i="2" s="1"/>
  <c r="I349" i="2"/>
  <c r="I374" i="2" s="1"/>
  <c r="J349" i="2"/>
  <c r="J374" i="2" s="1"/>
  <c r="K349" i="2"/>
  <c r="K374" i="2" s="1"/>
  <c r="L349" i="2"/>
  <c r="L374" i="2" s="1"/>
  <c r="M349" i="2"/>
  <c r="M374" i="2" s="1"/>
  <c r="B350" i="2"/>
  <c r="B375" i="2" s="1"/>
  <c r="C350" i="2"/>
  <c r="C375" i="2" s="1"/>
  <c r="D350" i="2"/>
  <c r="D375" i="2" s="1"/>
  <c r="E350" i="2"/>
  <c r="E375" i="2" s="1"/>
  <c r="F350" i="2"/>
  <c r="F375" i="2" s="1"/>
  <c r="G350" i="2"/>
  <c r="G375" i="2" s="1"/>
  <c r="H350" i="2"/>
  <c r="H375" i="2" s="1"/>
  <c r="I350" i="2"/>
  <c r="I375" i="2" s="1"/>
  <c r="J350" i="2"/>
  <c r="J375" i="2" s="1"/>
  <c r="K350" i="2"/>
  <c r="K375" i="2" s="1"/>
  <c r="L350" i="2"/>
  <c r="L375" i="2" s="1"/>
  <c r="M350" i="2"/>
  <c r="M375" i="2" s="1"/>
  <c r="B351" i="2"/>
  <c r="B376" i="2" s="1"/>
  <c r="C351" i="2"/>
  <c r="C376" i="2" s="1"/>
  <c r="D351" i="2"/>
  <c r="D376" i="2" s="1"/>
  <c r="E351" i="2"/>
  <c r="E376" i="2" s="1"/>
  <c r="F351" i="2"/>
  <c r="F376" i="2" s="1"/>
  <c r="G351" i="2"/>
  <c r="G376" i="2" s="1"/>
  <c r="H351" i="2"/>
  <c r="H376" i="2" s="1"/>
  <c r="I351" i="2"/>
  <c r="I376" i="2" s="1"/>
  <c r="J351" i="2"/>
  <c r="J376" i="2" s="1"/>
  <c r="K351" i="2"/>
  <c r="K376" i="2" s="1"/>
  <c r="L351" i="2"/>
  <c r="L376" i="2" s="1"/>
  <c r="M351" i="2"/>
  <c r="M376" i="2" s="1"/>
  <c r="B352" i="2"/>
  <c r="B377" i="2" s="1"/>
  <c r="C352" i="2"/>
  <c r="C377" i="2" s="1"/>
  <c r="D352" i="2"/>
  <c r="D377" i="2" s="1"/>
  <c r="E352" i="2"/>
  <c r="E377" i="2" s="1"/>
  <c r="F352" i="2"/>
  <c r="F377" i="2" s="1"/>
  <c r="G352" i="2"/>
  <c r="G377" i="2" s="1"/>
  <c r="H352" i="2"/>
  <c r="H377" i="2" s="1"/>
  <c r="I352" i="2"/>
  <c r="I377" i="2" s="1"/>
  <c r="J352" i="2"/>
  <c r="J377" i="2" s="1"/>
  <c r="K352" i="2"/>
  <c r="K377" i="2" s="1"/>
  <c r="L352" i="2"/>
  <c r="L377" i="2" s="1"/>
  <c r="M352" i="2"/>
  <c r="M377" i="2" s="1"/>
  <c r="B353" i="2"/>
  <c r="B378" i="2" s="1"/>
  <c r="C353" i="2"/>
  <c r="C378" i="2" s="1"/>
  <c r="D353" i="2"/>
  <c r="D378" i="2" s="1"/>
  <c r="E353" i="2"/>
  <c r="E378" i="2" s="1"/>
  <c r="F353" i="2"/>
  <c r="F378" i="2" s="1"/>
  <c r="G353" i="2"/>
  <c r="G378" i="2" s="1"/>
  <c r="H353" i="2"/>
  <c r="H378" i="2" s="1"/>
  <c r="I353" i="2"/>
  <c r="I378" i="2" s="1"/>
  <c r="J353" i="2"/>
  <c r="J378" i="2" s="1"/>
  <c r="K353" i="2"/>
  <c r="K378" i="2" s="1"/>
  <c r="L353" i="2"/>
  <c r="L378" i="2" s="1"/>
  <c r="M353" i="2"/>
  <c r="M378" i="2" s="1"/>
  <c r="B354" i="2"/>
  <c r="B379" i="2" s="1"/>
  <c r="C354" i="2"/>
  <c r="C379" i="2" s="1"/>
  <c r="D354" i="2"/>
  <c r="D379" i="2" s="1"/>
  <c r="E354" i="2"/>
  <c r="E379" i="2" s="1"/>
  <c r="F354" i="2"/>
  <c r="F379" i="2" s="1"/>
  <c r="G354" i="2"/>
  <c r="G379" i="2" s="1"/>
  <c r="H354" i="2"/>
  <c r="H379" i="2" s="1"/>
  <c r="I354" i="2"/>
  <c r="I379" i="2" s="1"/>
  <c r="J354" i="2"/>
  <c r="J379" i="2" s="1"/>
  <c r="K354" i="2"/>
  <c r="K379" i="2" s="1"/>
  <c r="L354" i="2"/>
  <c r="L379" i="2" s="1"/>
  <c r="M354" i="2"/>
  <c r="M379" i="2" s="1"/>
  <c r="B355" i="2"/>
  <c r="B380" i="2" s="1"/>
  <c r="C355" i="2"/>
  <c r="C380" i="2" s="1"/>
  <c r="D355" i="2"/>
  <c r="D380" i="2" s="1"/>
  <c r="E355" i="2"/>
  <c r="E380" i="2" s="1"/>
  <c r="F355" i="2"/>
  <c r="F380" i="2" s="1"/>
  <c r="G355" i="2"/>
  <c r="G380" i="2" s="1"/>
  <c r="H355" i="2"/>
  <c r="H380" i="2" s="1"/>
  <c r="I355" i="2"/>
  <c r="I380" i="2" s="1"/>
  <c r="J355" i="2"/>
  <c r="J380" i="2" s="1"/>
  <c r="K355" i="2"/>
  <c r="K380" i="2" s="1"/>
  <c r="L355" i="2"/>
  <c r="L380" i="2" s="1"/>
  <c r="M355" i="2"/>
  <c r="M380" i="2" s="1"/>
  <c r="B356" i="2"/>
  <c r="B381" i="2" s="1"/>
  <c r="C356" i="2"/>
  <c r="C381" i="2" s="1"/>
  <c r="D356" i="2"/>
  <c r="D381" i="2" s="1"/>
  <c r="E356" i="2"/>
  <c r="E381" i="2" s="1"/>
  <c r="F356" i="2"/>
  <c r="F381" i="2" s="1"/>
  <c r="G356" i="2"/>
  <c r="G381" i="2" s="1"/>
  <c r="H356" i="2"/>
  <c r="H381" i="2" s="1"/>
  <c r="I356" i="2"/>
  <c r="I381" i="2" s="1"/>
  <c r="J356" i="2"/>
  <c r="J381" i="2" s="1"/>
  <c r="K356" i="2"/>
  <c r="K381" i="2" s="1"/>
  <c r="L356" i="2"/>
  <c r="L381" i="2" s="1"/>
  <c r="M356" i="2"/>
  <c r="M381" i="2" s="1"/>
  <c r="B357" i="2"/>
  <c r="B382" i="2" s="1"/>
  <c r="C357" i="2"/>
  <c r="C382" i="2" s="1"/>
  <c r="D357" i="2"/>
  <c r="D382" i="2" s="1"/>
  <c r="E357" i="2"/>
  <c r="E382" i="2" s="1"/>
  <c r="F357" i="2"/>
  <c r="F382" i="2" s="1"/>
  <c r="G357" i="2"/>
  <c r="G382" i="2" s="1"/>
  <c r="H357" i="2"/>
  <c r="H382" i="2" s="1"/>
  <c r="I357" i="2"/>
  <c r="I382" i="2" s="1"/>
  <c r="J357" i="2"/>
  <c r="J382" i="2" s="1"/>
  <c r="K357" i="2"/>
  <c r="K382" i="2" s="1"/>
  <c r="L357" i="2"/>
  <c r="L382" i="2" s="1"/>
  <c r="M357" i="2"/>
  <c r="M382" i="2" s="1"/>
  <c r="B358" i="2"/>
  <c r="B383" i="2" s="1"/>
  <c r="C358" i="2"/>
  <c r="C383" i="2" s="1"/>
  <c r="D358" i="2"/>
  <c r="D383" i="2" s="1"/>
  <c r="E358" i="2"/>
  <c r="E383" i="2" s="1"/>
  <c r="F358" i="2"/>
  <c r="F383" i="2" s="1"/>
  <c r="G358" i="2"/>
  <c r="G383" i="2" s="1"/>
  <c r="H358" i="2"/>
  <c r="H383" i="2" s="1"/>
  <c r="I358" i="2"/>
  <c r="I383" i="2" s="1"/>
  <c r="J358" i="2"/>
  <c r="J383" i="2" s="1"/>
  <c r="K358" i="2"/>
  <c r="K383" i="2" s="1"/>
  <c r="L358" i="2"/>
  <c r="L383" i="2" s="1"/>
  <c r="M358" i="2"/>
  <c r="M383" i="2" s="1"/>
  <c r="B359" i="2"/>
  <c r="B384" i="2" s="1"/>
  <c r="C359" i="2"/>
  <c r="C384" i="2" s="1"/>
  <c r="D359" i="2"/>
  <c r="D384" i="2" s="1"/>
  <c r="E359" i="2"/>
  <c r="E384" i="2" s="1"/>
  <c r="F359" i="2"/>
  <c r="F384" i="2" s="1"/>
  <c r="G359" i="2"/>
  <c r="G384" i="2" s="1"/>
  <c r="H359" i="2"/>
  <c r="H384" i="2" s="1"/>
  <c r="I359" i="2"/>
  <c r="I384" i="2" s="1"/>
  <c r="J359" i="2"/>
  <c r="J384" i="2" s="1"/>
  <c r="K359" i="2"/>
  <c r="K384" i="2" s="1"/>
  <c r="L359" i="2"/>
  <c r="L384" i="2" s="1"/>
  <c r="M359" i="2"/>
  <c r="M384" i="2" s="1"/>
  <c r="B360" i="2"/>
  <c r="B385" i="2" s="1"/>
  <c r="C360" i="2"/>
  <c r="C385" i="2" s="1"/>
  <c r="D360" i="2"/>
  <c r="D385" i="2" s="1"/>
  <c r="E360" i="2"/>
  <c r="E385" i="2" s="1"/>
  <c r="F360" i="2"/>
  <c r="F385" i="2" s="1"/>
  <c r="G360" i="2"/>
  <c r="G385" i="2" s="1"/>
  <c r="H360" i="2"/>
  <c r="H385" i="2" s="1"/>
  <c r="I360" i="2"/>
  <c r="I385" i="2" s="1"/>
  <c r="J360" i="2"/>
  <c r="J385" i="2" s="1"/>
  <c r="K360" i="2"/>
  <c r="K385" i="2" s="1"/>
  <c r="L360" i="2"/>
  <c r="L385" i="2" s="1"/>
  <c r="M360" i="2"/>
  <c r="M385" i="2" s="1"/>
  <c r="B361" i="2"/>
  <c r="C361" i="2"/>
  <c r="D361" i="2"/>
  <c r="E361" i="2"/>
  <c r="F361" i="2"/>
  <c r="G361" i="2"/>
  <c r="H361" i="2"/>
  <c r="I361" i="2"/>
  <c r="J361" i="2"/>
  <c r="K361" i="2"/>
  <c r="L361" i="2"/>
  <c r="M361" i="2"/>
  <c r="B362" i="2"/>
  <c r="C362" i="2"/>
  <c r="D362" i="2"/>
  <c r="E362" i="2"/>
  <c r="F362" i="2"/>
  <c r="G362" i="2"/>
  <c r="H362" i="2"/>
  <c r="I362" i="2"/>
  <c r="J362" i="2"/>
  <c r="K362" i="2"/>
  <c r="L362" i="2"/>
  <c r="M362" i="2"/>
  <c r="B363" i="2"/>
  <c r="C363" i="2"/>
  <c r="D363" i="2"/>
  <c r="E363" i="2"/>
  <c r="F363" i="2"/>
  <c r="G363" i="2"/>
  <c r="H363" i="2"/>
  <c r="I363" i="2"/>
  <c r="J363" i="2"/>
  <c r="K363" i="2"/>
  <c r="L363" i="2"/>
  <c r="M363" i="2"/>
  <c r="C340" i="2"/>
  <c r="C365" i="2" s="1"/>
  <c r="D340" i="2"/>
  <c r="D365" i="2" s="1"/>
  <c r="E340" i="2"/>
  <c r="E365" i="2" s="1"/>
  <c r="F340" i="2"/>
  <c r="F365" i="2" s="1"/>
  <c r="G340" i="2"/>
  <c r="G365" i="2" s="1"/>
  <c r="H340" i="2"/>
  <c r="H365" i="2" s="1"/>
  <c r="I340" i="2"/>
  <c r="I365" i="2" s="1"/>
  <c r="J340" i="2"/>
  <c r="J365" i="2" s="1"/>
  <c r="K340" i="2"/>
  <c r="K365" i="2" s="1"/>
  <c r="L340" i="2"/>
  <c r="L365" i="2" s="1"/>
  <c r="M340" i="2"/>
  <c r="M365" i="2" s="1"/>
  <c r="B340" i="2"/>
  <c r="B365" i="2" s="1"/>
  <c r="AB33" i="4"/>
  <c r="AA33" i="4"/>
  <c r="Z33" i="4"/>
  <c r="Y33" i="4"/>
  <c r="B16" i="4"/>
  <c r="D16" i="4"/>
  <c r="Y16" i="4"/>
  <c r="J33" i="4"/>
  <c r="L33" i="4"/>
  <c r="M33" i="4"/>
  <c r="K33" i="4"/>
  <c r="B26" i="4"/>
  <c r="B38" i="4"/>
  <c r="C16" i="4"/>
  <c r="Q38" i="4"/>
  <c r="Q45" i="4" s="1"/>
  <c r="B45" i="4"/>
  <c r="Q26" i="4"/>
  <c r="AB16" i="4"/>
  <c r="AA16" i="4"/>
  <c r="Z16" i="4"/>
  <c r="T16" i="4"/>
  <c r="S16" i="4"/>
  <c r="R16" i="4"/>
  <c r="Q16" i="4"/>
  <c r="M16" i="4"/>
  <c r="L16" i="4"/>
  <c r="K16" i="4"/>
  <c r="J16" i="4"/>
  <c r="E16" i="4"/>
  <c r="Y17" i="4" l="1"/>
  <c r="B17" i="4"/>
  <c r="J17" i="4"/>
  <c r="Q17" i="4"/>
  <c r="Q19" i="4" l="1"/>
  <c r="Q29" i="4" s="1"/>
  <c r="P30" i="2" s="1"/>
  <c r="B19" i="4"/>
  <c r="B29" i="4" s="1"/>
  <c r="A30" i="2" s="1"/>
</calcChain>
</file>

<file path=xl/sharedStrings.xml><?xml version="1.0" encoding="utf-8"?>
<sst xmlns="http://schemas.openxmlformats.org/spreadsheetml/2006/main" count="3544" uniqueCount="402">
  <si>
    <t xml:space="preserve">           </t>
  </si>
  <si>
    <t>Jan</t>
  </si>
  <si>
    <t>Feb</t>
  </si>
  <si>
    <t>Mar</t>
  </si>
  <si>
    <t>Apr</t>
  </si>
  <si>
    <t>May</t>
  </si>
  <si>
    <t>Jun</t>
  </si>
  <si>
    <t>Jul</t>
  </si>
  <si>
    <t>Aug</t>
  </si>
  <si>
    <t>Sep</t>
  </si>
  <si>
    <t>Oct</t>
  </si>
  <si>
    <t>Nov</t>
  </si>
  <si>
    <t>Dec</t>
  </si>
  <si>
    <t xml:space="preserve"> 0:01- 1:00</t>
  </si>
  <si>
    <t xml:space="preserve"> 1:01- 2:00</t>
  </si>
  <si>
    <t xml:space="preserve"> 2:01- 3:00</t>
  </si>
  <si>
    <t xml:space="preserve"> 3:01- 4:00</t>
  </si>
  <si>
    <t xml:space="preserve"> 4:01- 5:00</t>
  </si>
  <si>
    <t xml:space="preserve"> 5:01- 6:00</t>
  </si>
  <si>
    <t xml:space="preserve"> 6:01- 7:00</t>
  </si>
  <si>
    <t xml:space="preserve"> 7:01- 8:00</t>
  </si>
  <si>
    <t xml:space="preserve"> 8:01- 9:00</t>
  </si>
  <si>
    <t xml:space="preserve"> 9:01-10:00</t>
  </si>
  <si>
    <t>10:01-11:00</t>
  </si>
  <si>
    <t>11:01-12:00</t>
  </si>
  <si>
    <t>12:01-13:00</t>
  </si>
  <si>
    <t>13:01-14:00</t>
  </si>
  <si>
    <t>14:01-15:00</t>
  </si>
  <si>
    <t>15:01-16:00</t>
  </si>
  <si>
    <t>16:01-17:00</t>
  </si>
  <si>
    <t>17:01-18:00</t>
  </si>
  <si>
    <t>18:01-19:00</t>
  </si>
  <si>
    <t>19:01-20:00</t>
  </si>
  <si>
    <t>20:01-21:00</t>
  </si>
  <si>
    <t>21:01-22:00</t>
  </si>
  <si>
    <t>22:01-23:00</t>
  </si>
  <si>
    <t>23:01-24:00</t>
  </si>
  <si>
    <t>Volume</t>
  </si>
  <si>
    <t>Occupant Density</t>
  </si>
  <si>
    <t>sf/person</t>
  </si>
  <si>
    <t>AC/hr</t>
  </si>
  <si>
    <t>Occupant Heat Rate</t>
  </si>
  <si>
    <t>Btu/hr-person</t>
  </si>
  <si>
    <t>Lighting Power Density</t>
  </si>
  <si>
    <t>W/sf</t>
  </si>
  <si>
    <t>Equipment Power Density</t>
  </si>
  <si>
    <t>Area (square feet)</t>
  </si>
  <si>
    <t>U-Value (Btu/hr-sf-°F)</t>
  </si>
  <si>
    <t>Orientation (0=N,90=E)</t>
  </si>
  <si>
    <t>Tilt (90=vertical, 0=horiz.)</t>
  </si>
  <si>
    <t>UA (Btu/hr-°F)</t>
  </si>
  <si>
    <t>Btu/hr-°F</t>
  </si>
  <si>
    <t>Design A</t>
  </si>
  <si>
    <t>Design B</t>
  </si>
  <si>
    <t>ΔT</t>
  </si>
  <si>
    <t>Uaref</t>
  </si>
  <si>
    <t>Qloss</t>
  </si>
  <si>
    <t>Qi</t>
  </si>
  <si>
    <t xml:space="preserve">Latitude </t>
  </si>
  <si>
    <t>Cooling</t>
  </si>
  <si>
    <t>Heating</t>
  </si>
  <si>
    <t>Walls</t>
  </si>
  <si>
    <t>Floor</t>
  </si>
  <si>
    <t>Ceiling</t>
  </si>
  <si>
    <t>N</t>
  </si>
  <si>
    <t>E</t>
  </si>
  <si>
    <t>S</t>
  </si>
  <si>
    <t>W</t>
  </si>
  <si>
    <t>SHGC</t>
  </si>
  <si>
    <t>Type 1</t>
  </si>
  <si>
    <t>Type 2</t>
  </si>
  <si>
    <t>Temperature (°F)</t>
  </si>
  <si>
    <t>UA Total</t>
  </si>
  <si>
    <t>UA for the Envelope</t>
  </si>
  <si>
    <t>UA for the Windows</t>
  </si>
  <si>
    <t>Ventilation heat loss</t>
  </si>
  <si>
    <t xml:space="preserve">UAref </t>
  </si>
  <si>
    <t>cubic feet</t>
  </si>
  <si>
    <t>Rate</t>
  </si>
  <si>
    <t>Start Time</t>
  </si>
  <si>
    <t>Close Time</t>
  </si>
  <si>
    <t>% Use after hours</t>
  </si>
  <si>
    <t>Hour</t>
  </si>
  <si>
    <t xml:space="preserve">Orientation </t>
  </si>
  <si>
    <t>kBTU/Hr</t>
  </si>
  <si>
    <t>Qi Total</t>
  </si>
  <si>
    <t>kBTU/Day</t>
  </si>
  <si>
    <t>Summer</t>
  </si>
  <si>
    <t>Winter</t>
  </si>
  <si>
    <t>Qdesired</t>
  </si>
  <si>
    <t>Project North Window Radiation</t>
  </si>
  <si>
    <t>Project West Window Radiation</t>
  </si>
  <si>
    <t>Project South Window Radiation</t>
  </si>
  <si>
    <t>Project East Window Radiation</t>
  </si>
  <si>
    <t xml:space="preserve">                       DEFAULT LAG FACTORS</t>
  </si>
  <si>
    <t>NE</t>
  </si>
  <si>
    <t>SE</t>
  </si>
  <si>
    <t>SW</t>
  </si>
  <si>
    <t>NW</t>
  </si>
  <si>
    <t>Qsmax N</t>
  </si>
  <si>
    <t>Qsmax W</t>
  </si>
  <si>
    <t>Qsmax S</t>
  </si>
  <si>
    <t>Qsmax E</t>
  </si>
  <si>
    <t>% Shade N</t>
  </si>
  <si>
    <t>% Shade E</t>
  </si>
  <si>
    <t>% Shade S</t>
  </si>
  <si>
    <t>% Shade W</t>
  </si>
  <si>
    <t xml:space="preserve"> Data Source -- TMY3</t>
  </si>
  <si>
    <t xml:space="preserve"> - Using Design Conditions from "Climate Design Data 2009 ASHRAE Handbook"</t>
  </si>
  <si>
    <t xml:space="preserve"> - If the design condition source is ASHRAE, the design conditions are carefully generated</t>
  </si>
  <si>
    <t xml:space="preserve"> - from a period of record (typically 30 years) to be representative of that location and</t>
  </si>
  <si>
    <t xml:space="preserve"> - be suitable for use in heating/cooling load calculations. If the source is not ASHRAE,</t>
  </si>
  <si>
    <t xml:space="preserve"> - please consult the referenced source for the reasoning behind the data.</t>
  </si>
  <si>
    <t xml:space="preserve">    </t>
  </si>
  <si>
    <t>Design Stat</t>
  </si>
  <si>
    <t>ColdestMonth</t>
  </si>
  <si>
    <t>DB996</t>
  </si>
  <si>
    <t>DB990</t>
  </si>
  <si>
    <t>DP996</t>
  </si>
  <si>
    <t>HR_DP996</t>
  </si>
  <si>
    <t>DB_DP996</t>
  </si>
  <si>
    <t>DP990</t>
  </si>
  <si>
    <t>HR_DP990</t>
  </si>
  <si>
    <t>DB_DP990</t>
  </si>
  <si>
    <t>WS004c</t>
  </si>
  <si>
    <t>DB_WS004c</t>
  </si>
  <si>
    <t>WS010c</t>
  </si>
  <si>
    <t>DB_WS010c</t>
  </si>
  <si>
    <t>WS_DB996</t>
  </si>
  <si>
    <t>WD_DB996</t>
  </si>
  <si>
    <t>Units</t>
  </si>
  <si>
    <t>{}</t>
  </si>
  <si>
    <t>{°C}</t>
  </si>
  <si>
    <t>{m/s}</t>
  </si>
  <si>
    <t>{deg}</t>
  </si>
  <si>
    <t>HottestMonth</t>
  </si>
  <si>
    <t>DBR</t>
  </si>
  <si>
    <t>DB004</t>
  </si>
  <si>
    <t>WB_DB004</t>
  </si>
  <si>
    <t>DB010</t>
  </si>
  <si>
    <t>WB_DB010</t>
  </si>
  <si>
    <t>DB020</t>
  </si>
  <si>
    <t>WB_DB020</t>
  </si>
  <si>
    <t>WB004</t>
  </si>
  <si>
    <t>DB_WB004</t>
  </si>
  <si>
    <t>WB010</t>
  </si>
  <si>
    <t>DB_WB010</t>
  </si>
  <si>
    <t>WB020</t>
  </si>
  <si>
    <t>DB_WB020</t>
  </si>
  <si>
    <t>WS_DB004</t>
  </si>
  <si>
    <t>WD_DB004</t>
  </si>
  <si>
    <t>DP004</t>
  </si>
  <si>
    <t>HR_DP004</t>
  </si>
  <si>
    <t>DB_DP004</t>
  </si>
  <si>
    <t>DP010</t>
  </si>
  <si>
    <t>HR_DP010</t>
  </si>
  <si>
    <t>DB_DP010</t>
  </si>
  <si>
    <t>DP020</t>
  </si>
  <si>
    <t>HR_DP020</t>
  </si>
  <si>
    <t>DB_DP020</t>
  </si>
  <si>
    <t>EN004</t>
  </si>
  <si>
    <t>DB_EN004</t>
  </si>
  <si>
    <t>EN010</t>
  </si>
  <si>
    <t>DB_EN010</t>
  </si>
  <si>
    <t>EN020</t>
  </si>
  <si>
    <t>DB_EN020</t>
  </si>
  <si>
    <t>#Hrs_8-4_&amp;_DB-12.8/20.6</t>
  </si>
  <si>
    <t>{kJ/kg}</t>
  </si>
  <si>
    <t>WS010</t>
  </si>
  <si>
    <t>WS025</t>
  </si>
  <si>
    <t>WS050</t>
  </si>
  <si>
    <t>WBmax</t>
  </si>
  <si>
    <t>DBmin_mean</t>
  </si>
  <si>
    <t>DBmax_mean</t>
  </si>
  <si>
    <t>DBmin_stddev</t>
  </si>
  <si>
    <t>DBmax_stddev</t>
  </si>
  <si>
    <t>DBmin05years</t>
  </si>
  <si>
    <t>DBmax05years</t>
  </si>
  <si>
    <t>DBmin10years</t>
  </si>
  <si>
    <t>DBmax10years</t>
  </si>
  <si>
    <t>DBmin20years</t>
  </si>
  <si>
    <t>DBmax20years</t>
  </si>
  <si>
    <t>DBmin50years</t>
  </si>
  <si>
    <t>DBmax50years</t>
  </si>
  <si>
    <t>Extremes</t>
  </si>
  <si>
    <t xml:space="preserve"> - Monthly Statistics for Dry Bulb temperatures °C</t>
  </si>
  <si>
    <t xml:space="preserve"> </t>
  </si>
  <si>
    <t xml:space="preserve">Maximum </t>
  </si>
  <si>
    <t xml:space="preserve"> Day:Hour</t>
  </si>
  <si>
    <t xml:space="preserve">Minimum </t>
  </si>
  <si>
    <t xml:space="preserve"> 6:05</t>
  </si>
  <si>
    <t>Daily Avg</t>
  </si>
  <si>
    <t xml:space="preserve"> - Average Hourly Statistics for Dry Bulb temperatures °C</t>
  </si>
  <si>
    <t xml:space="preserve"> Max Hour  </t>
  </si>
  <si>
    <t xml:space="preserve"> Min Hour  </t>
  </si>
  <si>
    <t xml:space="preserve"> - Monthly Statistics for Extreme temperatures °C</t>
  </si>
  <si>
    <t xml:space="preserve">  #Days  </t>
  </si>
  <si>
    <t>Max &gt;= 32</t>
  </si>
  <si>
    <t xml:space="preserve">     </t>
  </si>
  <si>
    <t>Max &lt;=  0</t>
  </si>
  <si>
    <t>Min &lt;=  0</t>
  </si>
  <si>
    <t>Min &lt;=-18</t>
  </si>
  <si>
    <t xml:space="preserve"> - Monthly Statistics for Dew Point temperatures °C</t>
  </si>
  <si>
    <t xml:space="preserve"> 5:12</t>
  </si>
  <si>
    <t xml:space="preserve"> 2:12</t>
  </si>
  <si>
    <t xml:space="preserve"> 1:04</t>
  </si>
  <si>
    <t xml:space="preserve"> - Monthly Statistics for Relative Humidity %</t>
  </si>
  <si>
    <t xml:space="preserve">Maximum  </t>
  </si>
  <si>
    <t xml:space="preserve"> Day:Hour </t>
  </si>
  <si>
    <t xml:space="preserve"> 1:06</t>
  </si>
  <si>
    <t xml:space="preserve">Minimum  </t>
  </si>
  <si>
    <t xml:space="preserve"> - Average Hourly Relative Humidity %</t>
  </si>
  <si>
    <t xml:space="preserve"> - Monthly Indicators for Precipitation/Moisture (kPa)</t>
  </si>
  <si>
    <t xml:space="preserve">         </t>
  </si>
  <si>
    <t xml:space="preserve"> - Monthly Statistics for Wind Chill/Heat Index temperatures °C **</t>
  </si>
  <si>
    <t>Minimum WC</t>
  </si>
  <si>
    <t xml:space="preserve"> 9:04</t>
  </si>
  <si>
    <t>Average WC</t>
  </si>
  <si>
    <t>Avg Del WC</t>
  </si>
  <si>
    <t xml:space="preserve"> # Hours WC</t>
  </si>
  <si>
    <t>Maximum HI</t>
  </si>
  <si>
    <t>Average HI</t>
  </si>
  <si>
    <t>Avg Del HI</t>
  </si>
  <si>
    <t xml:space="preserve"> # Hours HI</t>
  </si>
  <si>
    <t xml:space="preserve">   - **WindChill/HeatIndex Temps -- statistics...only those different from Air Temps</t>
  </si>
  <si>
    <t xml:space="preserve"> - Monthly Wind Direction % {N=0 or 360,E=90,S=180,W=270}</t>
  </si>
  <si>
    <t xml:space="preserve">North    </t>
  </si>
  <si>
    <t>NorthEast</t>
  </si>
  <si>
    <t xml:space="preserve">East     </t>
  </si>
  <si>
    <t>SouthEast</t>
  </si>
  <si>
    <t xml:space="preserve">South    </t>
  </si>
  <si>
    <t>SouthWest</t>
  </si>
  <si>
    <t xml:space="preserve">West     </t>
  </si>
  <si>
    <t>NorthWest</t>
  </si>
  <si>
    <t xml:space="preserve"> - Monthly Statistics for Wind Speed m/s</t>
  </si>
  <si>
    <t xml:space="preserve"> 2:01</t>
  </si>
  <si>
    <t xml:space="preserve"> 1:05</t>
  </si>
  <si>
    <t xml:space="preserve">   - Minimum Wind Speed of   0.0 m/s on Jan  1</t>
  </si>
  <si>
    <t xml:space="preserve"> - Monthly Statistics for Liquid Precipitation mm</t>
  </si>
  <si>
    <t xml:space="preserve">Total   </t>
  </si>
  <si>
    <t xml:space="preserve"> - Monthly Statistics for Albedo</t>
  </si>
  <si>
    <t xml:space="preserve">Average </t>
  </si>
  <si>
    <t xml:space="preserve"> - Monthly Statistics for Solar Radiation  (Direct Normal, Diffuse, Global Horizontal) Wh/m²</t>
  </si>
  <si>
    <t xml:space="preserve">Direct Avg </t>
  </si>
  <si>
    <t xml:space="preserve">Direct Max </t>
  </si>
  <si>
    <t xml:space="preserve">    Day    </t>
  </si>
  <si>
    <t>Diffuse Avg</t>
  </si>
  <si>
    <t xml:space="preserve">Global Avg </t>
  </si>
  <si>
    <t xml:space="preserve"> - Average Hourly Statistics for Direct Normal Solar Radiation Wh/m²</t>
  </si>
  <si>
    <t xml:space="preserve"> Max Hour*</t>
  </si>
  <si>
    <t xml:space="preserve">  11*</t>
  </si>
  <si>
    <t xml:space="preserve"> - Monthly Calculated "undisturbed" Ground Temperatures** °C</t>
  </si>
  <si>
    <t xml:space="preserve">   0.5 m  </t>
  </si>
  <si>
    <t xml:space="preserve">   2.0 m  </t>
  </si>
  <si>
    <t xml:space="preserve">   4.0 m  </t>
  </si>
  <si>
    <t xml:space="preserve">   - **These ground temperatures should NOT BE USED in the GroundTemperatures object to compute building floor losses.</t>
  </si>
  <si>
    <t xml:space="preserve">   -   The temperatures for 0.5 m depth can be used for GroundTemperatures:Surface.</t>
  </si>
  <si>
    <t xml:space="preserve">   -   The temperatures for 4.0 m depth can be used for GroundTemperatures:Deep.</t>
  </si>
  <si>
    <t xml:space="preserve">   -   Calculations use a standard soil diffusivity of 2.3225760E-03 {m**2/day}</t>
  </si>
  <si>
    <t xml:space="preserve"> - Monthly Heating/Cooling Degree Days/Hours</t>
  </si>
  <si>
    <t>HDD base 10C</t>
  </si>
  <si>
    <t>HDD base 18C</t>
  </si>
  <si>
    <t>CDD base 10C</t>
  </si>
  <si>
    <t>CDD base 18C</t>
  </si>
  <si>
    <t>CDH base 20C</t>
  </si>
  <si>
    <t>CDH base 23C</t>
  </si>
  <si>
    <t>CDH base 27C</t>
  </si>
  <si>
    <t xml:space="preserve"> - **Note that the Köppen classification shown here is derived algorithmically from the source weather data.</t>
  </si>
  <si>
    <t xml:space="preserve"> -   It may not be indicative of the long term climate for this location.</t>
  </si>
  <si>
    <t xml:space="preserve"> - **Note that the ASHRAE classification shown here is derived algorithmically from the source weather data.</t>
  </si>
  <si>
    <t xml:space="preserve"> - Typical/Extreme Period Determination</t>
  </si>
  <si>
    <t xml:space="preserve"> - Autumn is Oct:Dec</t>
  </si>
  <si>
    <t xml:space="preserve">     Typical Autumn Week (nearest average temperature for autumn)</t>
  </si>
  <si>
    <t xml:space="preserve"> - Spring is Apr:Jun</t>
  </si>
  <si>
    <t xml:space="preserve">     Typical Spring Week (nearest average temperature for spring)</t>
  </si>
  <si>
    <t>6am</t>
  </si>
  <si>
    <t>7am</t>
  </si>
  <si>
    <t>8am</t>
  </si>
  <si>
    <t>9am</t>
  </si>
  <si>
    <t>10am</t>
  </si>
  <si>
    <t>11am</t>
  </si>
  <si>
    <t>12pm</t>
  </si>
  <si>
    <t>1pm</t>
  </si>
  <si>
    <t>2pm</t>
  </si>
  <si>
    <t>3pm</t>
  </si>
  <si>
    <t>4pm</t>
  </si>
  <si>
    <t>5pm</t>
  </si>
  <si>
    <t>6pm</t>
  </si>
  <si>
    <t>Design A Results</t>
  </si>
  <si>
    <t>1am</t>
  </si>
  <si>
    <t>12am</t>
  </si>
  <si>
    <t>2am</t>
  </si>
  <si>
    <t>3am</t>
  </si>
  <si>
    <t>4am</t>
  </si>
  <si>
    <t>5am</t>
  </si>
  <si>
    <t>7pm</t>
  </si>
  <si>
    <t>8pm</t>
  </si>
  <si>
    <t>9pm</t>
  </si>
  <si>
    <t>10pm</t>
  </si>
  <si>
    <t>11pm</t>
  </si>
  <si>
    <t>Design B Results</t>
  </si>
  <si>
    <t xml:space="preserve">    -  686 annual cooling degree-days (10°C baseline)</t>
  </si>
  <si>
    <t xml:space="preserve">    -   65 annual cooling degree-days (18°C baseline)</t>
  </si>
  <si>
    <t xml:space="preserve"> - Moist continental (warm summer, cold winter, no dry season, lat. 30-60°N)</t>
  </si>
  <si>
    <t xml:space="preserve">     Typical Week Period selected: Feb 10:Feb 16, Average Temp=   4.53°C, Deviation=| 0.060|°C</t>
  </si>
  <si>
    <t xml:space="preserve">     Typical Week Period selected: Oct 13:Oct 19, Average Temp=  15.15°C, Deviation=| 0.336|°C</t>
  </si>
  <si>
    <t xml:space="preserve">     Typical Week Period selected: Apr 19:Apr 25, Average Temp=  14.58°C, Deviation=| 0.169|°C</t>
  </si>
  <si>
    <t>°</t>
  </si>
  <si>
    <t>° From North where 0 = N, 90 = E, -90 = W</t>
  </si>
  <si>
    <t>Some Notes:</t>
  </si>
  <si>
    <t>Orientation for windows auto calculates based on the the project orientation at the top, but it does so in the cell rather than using vba. If I were to use vba, then they would have to click a button to apply the orientation change, which seemed like a hassel. Better for it to auto update. If i embedded it with the run calc, then they cannot override the values, which seemed important if they wanted to have a non-rectangular structure or to use one of the orientations for calculating a skylight.  Unfortunately, right now if they do override the values, then the auto-update feature is overwritten. I was unsure what would be the best solution, so I've left it as is, but if you want a button for them to do the orientation change manually, that  would be easy.  Alternatively, I can run a macro when the sheet is opened to restore all default values, so if they overwrite anything, the cells will be returned to normal when they open it again. Of course this then has the downside that they cannot save any alterations they make to the sheet. I guess I could prompt them if they want to restore the sheet or run as it, but this all seems overly complicated to me when they could just download a new copy if they do corrupt any of the cells. So beats me; I believe in Darwinism.</t>
  </si>
  <si>
    <t>Based on a 24 hour clock, 0 = Midnight, 12 = noon, 23 = 11pm, 24 = Midnight</t>
  </si>
  <si>
    <t xml:space="preserve"> 8:15</t>
  </si>
  <si>
    <t xml:space="preserve"> 8:04</t>
  </si>
  <si>
    <t xml:space="preserve"> 9:14</t>
  </si>
  <si>
    <t xml:space="preserve"> 6:12</t>
  </si>
  <si>
    <t xml:space="preserve"> 1:08</t>
  </si>
  <si>
    <t xml:space="preserve"> 9:12</t>
  </si>
  <si>
    <t xml:space="preserve"> 1:16</t>
  </si>
  <si>
    <t xml:space="preserve"> 3:24</t>
  </si>
  <si>
    <t xml:space="preserve">     Typical Week Period selected: Jan 27:Feb  2, Average Temp=  -2.67°C, Deviation=| 0.303|°C</t>
  </si>
  <si>
    <t xml:space="preserve"> - Autumn is Sep:Nov</t>
  </si>
  <si>
    <t xml:space="preserve">     Typical Week Period selected: Oct  6:Oct 12, Average Temp=  11.30°C, Deviation=| 0.198|°C</t>
  </si>
  <si>
    <t xml:space="preserve"> - Spring is Mar:May</t>
  </si>
  <si>
    <t xml:space="preserve">     Typical Week Period selected: Mar 22:Mar 28, Average Temp=   8.89°C, Deviation=| 0.168|°C</t>
  </si>
  <si>
    <t xml:space="preserve"> 4:15</t>
  </si>
  <si>
    <t xml:space="preserve"> 6:17</t>
  </si>
  <si>
    <t xml:space="preserve"> 2:13</t>
  </si>
  <si>
    <t xml:space="preserve">     Typical Week Period selected: Jan 22:Jan 28, Average Temp=  12.55°C, Deviation=| 0.482|°C</t>
  </si>
  <si>
    <t xml:space="preserve">     Typical Week Period selected: Nov 12:Nov 18, Average Temp=  15.06°C, Deviation=| 0.310|°C</t>
  </si>
  <si>
    <t xml:space="preserve">     Typical Week Period selected: Apr 22:Apr 28, Average Temp=  23.90°C, Deviation=| 0.739|°C</t>
  </si>
  <si>
    <t>QsTotal</t>
  </si>
  <si>
    <t>Percent Shade Total</t>
  </si>
  <si>
    <t>Average Loads for graph</t>
  </si>
  <si>
    <t>LOSSES</t>
  </si>
  <si>
    <t>ENVELOPE</t>
  </si>
  <si>
    <t>WINDOWS</t>
  </si>
  <si>
    <t>INFILTRATION</t>
  </si>
  <si>
    <t>INTERNAL GAINS</t>
  </si>
  <si>
    <t>WINDOW SOLAR HEAT GAIN</t>
  </si>
  <si>
    <t>SCHEDULE</t>
  </si>
  <si>
    <t>GAINS</t>
  </si>
  <si>
    <t>SETPOINT</t>
  </si>
  <si>
    <t>LOCATION/CLIMATE</t>
  </si>
  <si>
    <t xml:space="preserve"> Statistics for USA_HI_Honolulu.Intl.AP.911820_TMY3</t>
  </si>
  <si>
    <t xml:space="preserve"> Location -- Honolulu Intl Arpt HI USA  </t>
  </si>
  <si>
    <t xml:space="preserve">      {N 21° 19'} {W 157° 55'} {GMT -10.0 Hours}</t>
  </si>
  <si>
    <t xml:space="preserve"> Elevation --     2m above sea level</t>
  </si>
  <si>
    <t xml:space="preserve"> Standard Pressure at Elevation -- 101301Pa</t>
  </si>
  <si>
    <t xml:space="preserve"> WMO Station 911820</t>
  </si>
  <si>
    <t xml:space="preserve"> 3:13</t>
  </si>
  <si>
    <t xml:space="preserve"> 1:13</t>
  </si>
  <si>
    <t xml:space="preserve"> 7:07</t>
  </si>
  <si>
    <t xml:space="preserve">   - Maximum Dry Bulb temperature of  33.3°C on Sep  2</t>
  </si>
  <si>
    <t xml:space="preserve">   - Minimum Dry Bulb temperature of  13.3°C on Feb 12</t>
  </si>
  <si>
    <t xml:space="preserve"> 9:24</t>
  </si>
  <si>
    <t xml:space="preserve"> 8:24</t>
  </si>
  <si>
    <t xml:space="preserve"> 3:11</t>
  </si>
  <si>
    <t xml:space="preserve"> 7:10</t>
  </si>
  <si>
    <t xml:space="preserve"> 1:22</t>
  </si>
  <si>
    <t xml:space="preserve"> 3:20</t>
  </si>
  <si>
    <t xml:space="preserve">   - Maximum Dew Point temperature of  24.4°C on Sep 23</t>
  </si>
  <si>
    <t xml:space="preserve">   - Minimum Dew Point temperature of   8.9°C on Jan 20</t>
  </si>
  <si>
    <t xml:space="preserve"> 4:07</t>
  </si>
  <si>
    <t xml:space="preserve"> 3:02</t>
  </si>
  <si>
    <t xml:space="preserve"> 8:23</t>
  </si>
  <si>
    <t xml:space="preserve"> 9:20</t>
  </si>
  <si>
    <t xml:space="preserve"> 3:14</t>
  </si>
  <si>
    <t xml:space="preserve"> 5:13</t>
  </si>
  <si>
    <t xml:space="preserve"> 2:05</t>
  </si>
  <si>
    <t xml:space="preserve"> 4:02</t>
  </si>
  <si>
    <t xml:space="preserve"> 6:02</t>
  </si>
  <si>
    <t xml:space="preserve"> 1:23</t>
  </si>
  <si>
    <t xml:space="preserve"> 6:06</t>
  </si>
  <si>
    <t xml:space="preserve"> 5:02</t>
  </si>
  <si>
    <t xml:space="preserve">   - Maximum Wind Speed of  13.4 m/s on Nov 15</t>
  </si>
  <si>
    <t xml:space="preserve">   - Maximum Direct Normal Solar of  9457 Wh/m² on May 30</t>
  </si>
  <si>
    <t xml:space="preserve">  10*</t>
  </si>
  <si>
    <t xml:space="preserve">   9*</t>
  </si>
  <si>
    <t xml:space="preserve">    - 5444 annual cooling degree-days (10°C baseline)</t>
  </si>
  <si>
    <t xml:space="preserve">    -    0 annual heating degree-days (10°C baseline)</t>
  </si>
  <si>
    <t xml:space="preserve">    - 2524 annual cooling degree-days (18°C baseline)</t>
  </si>
  <si>
    <t xml:space="preserve">    -    0 annual heating degree-days (18°C baseline)</t>
  </si>
  <si>
    <t xml:space="preserve"> - Climate type "Aw" (Köppen classification)**</t>
  </si>
  <si>
    <t xml:space="preserve"> - Tropical savanna (pronounced wet &amp; dry seasons, lat. 15-20°)</t>
  </si>
  <si>
    <t xml:space="preserve"> - Climate type "1A" (ASHRAE Standards 90.1-2004 and 90.2-2004 Climate Zone)**</t>
  </si>
  <si>
    <t xml:space="preserve"> - Very Hot - Humid, Probable Köppen classification=Aw, Tropical Wet-and-Dry</t>
  </si>
  <si>
    <t xml:space="preserve"> - Wet Period=Feb:Mar</t>
  </si>
  <si>
    <t xml:space="preserve">     Week closest to this period average temperature selected for Typical Period</t>
  </si>
  <si>
    <t xml:space="preserve">     Typical Week Period selected: Mar  1:Mar  7, Average Temp=  23.00°C, Deviation=| 0.052|°C</t>
  </si>
  <si>
    <t xml:space="preserve"> - Dry Period=Apr:Jan</t>
  </si>
  <si>
    <t xml:space="preserve">     Typical Week Period selected: May 20:May 26, Average Temp=  25.28°C, Deviation=| 0.032|°C</t>
  </si>
  <si>
    <t xml:space="preserve"> - Extremes Selected from annual Min/Max</t>
  </si>
  <si>
    <t xml:space="preserve">     Week closest to maximum annual temperature selected for Typical Period</t>
  </si>
  <si>
    <t xml:space="preserve">     Extreme Hot Week Period selected: Aug 27:Sep  2, Maximum Temp=  33.30°C, Deviation=| 5.657|°C</t>
  </si>
  <si>
    <t xml:space="preserve">     Week closest to minimum annual temperature selected for Typical Period</t>
  </si>
  <si>
    <t xml:space="preserve">     Extreme Cold Week Period selected: Jan 15:Jan 21, Minimum Temp=  13.30°C, Deviation=| 8.276|°C</t>
  </si>
  <si>
    <t xml:space="preserve">Honolulu Intl Arpt HI USA  </t>
  </si>
  <si>
    <t>1-25%</t>
  </si>
  <si>
    <t>25-50%</t>
  </si>
  <si>
    <t>51-75%</t>
  </si>
  <si>
    <t>76-99%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</si>
</sst>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General\°"/>
    <numFmt numFmtId="165" formatCode="0.0"/>
    <numFmt numFmtId="166" formatCode="_(* #,##0_);_(* \(#,##0\);_(* &quot;-&quot;??_);_(@_)"/>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1"/>
      <color theme="1"/>
      <name val="Calibri"/>
      <family val="2"/>
    </font>
    <font>
      <b/>
      <sz val="11"/>
      <name val="Calibri"/>
      <family val="2"/>
      <scheme val="minor"/>
    </font>
    <font>
      <sz val="11"/>
      <name val="Calibri"/>
      <family val="2"/>
      <scheme val="minor"/>
    </font>
    <font>
      <b/>
      <sz val="16"/>
      <color theme="1"/>
      <name val="Calibri"/>
      <family val="2"/>
      <scheme val="minor"/>
    </font>
    <font>
      <sz val="8"/>
      <name val="Arial Narrow"/>
      <family val="2"/>
    </font>
    <font>
      <b/>
      <sz val="11"/>
      <color theme="0" tint="-0.499984740745262"/>
      <name val="Calibri"/>
      <family val="2"/>
      <scheme val="minor"/>
    </font>
    <font>
      <sz val="11"/>
      <color theme="0" tint="-0.499984740745262"/>
      <name val="Calibri"/>
      <family val="2"/>
      <scheme val="minor"/>
    </font>
    <font>
      <b/>
      <sz val="12"/>
      <color theme="0" tint="-0.499984740745262"/>
      <name val="Calibri"/>
      <family val="2"/>
      <scheme val="minor"/>
    </font>
    <font>
      <b/>
      <sz val="11"/>
      <color rgb="FFC00000"/>
      <name val="Calibri"/>
      <family val="2"/>
      <scheme val="minor"/>
    </font>
    <font>
      <b/>
      <sz val="11"/>
      <color theme="1" tint="0.499984740745262"/>
      <name val="Calibri"/>
      <family val="2"/>
      <scheme val="minor"/>
    </font>
    <font>
      <sz val="11"/>
      <color theme="1" tint="0.499984740745262"/>
      <name val="Calibri"/>
      <family val="2"/>
      <scheme val="minor"/>
    </font>
    <font>
      <sz val="28"/>
      <color theme="0"/>
      <name val="Calibri"/>
      <family val="2"/>
      <scheme val="minor"/>
    </font>
    <font>
      <sz val="11"/>
      <color rgb="FF000000"/>
      <name val="Calibri"/>
      <family val="2"/>
    </font>
    <font>
      <sz val="10"/>
      <color rgb="FF000000"/>
      <name val="Calibri"/>
      <family val="2"/>
    </font>
    <font>
      <sz val="14"/>
      <color rgb="FF000000"/>
      <name val="Calibri"/>
      <family val="2"/>
    </font>
    <font>
      <sz val="8"/>
      <color rgb="FF000000"/>
      <name val="Tahoma"/>
      <family val="2"/>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C5BE97"/>
        <bgColor indexed="64"/>
      </patternFill>
    </fill>
    <fill>
      <patternFill patternType="solid">
        <fgColor theme="0" tint="-0.14999847407452621"/>
        <bgColor indexed="64"/>
      </patternFill>
    </fill>
    <fill>
      <patternFill patternType="solid">
        <fgColor rgb="FF000000"/>
        <bgColor indexed="64"/>
      </patternFill>
    </fill>
    <fill>
      <patternFill patternType="solid">
        <fgColor rgb="FFBFBFBF"/>
        <bgColor indexed="64"/>
      </patternFill>
    </fill>
    <fill>
      <patternFill patternType="solid">
        <fgColor rgb="FFFFFFFF"/>
        <bgColor indexed="64"/>
      </patternFill>
    </fill>
    <fill>
      <patternFill patternType="solid">
        <fgColor rgb="FF7F7F7F"/>
        <bgColor indexed="64"/>
      </patternFill>
    </fill>
    <fill>
      <patternFill patternType="solid">
        <fgColor rgb="FF5A5A5A"/>
        <bgColor indexed="64"/>
      </patternFill>
    </fill>
    <fill>
      <patternFill patternType="solid">
        <fgColor rgb="FF272727"/>
        <bgColor indexed="64"/>
      </patternFill>
    </fill>
  </fills>
  <borders count="6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diagonal/>
    </border>
    <border>
      <left style="thin">
        <color theme="0" tint="-0.24994659260841701"/>
      </left>
      <right/>
      <top/>
      <bottom/>
      <diagonal/>
    </border>
    <border>
      <left style="thick">
        <color auto="1"/>
      </left>
      <right style="thin">
        <color theme="0" tint="-0.24994659260841701"/>
      </right>
      <top style="thin">
        <color theme="0" tint="-0.24994659260841701"/>
      </top>
      <bottom style="thin">
        <color theme="0" tint="-0.24994659260841701"/>
      </bottom>
      <diagonal/>
    </border>
    <border>
      <left style="thick">
        <color auto="1"/>
      </left>
      <right style="thin">
        <color theme="0" tint="-0.24994659260841701"/>
      </right>
      <top style="thin">
        <color theme="0" tint="-0.24994659260841701"/>
      </top>
      <bottom style="thick">
        <color auto="1"/>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ck">
        <color auto="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ck">
        <color auto="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top style="thin">
        <color theme="0" tint="-0.24994659260841701"/>
      </top>
      <bottom style="thin">
        <color theme="0" tint="-0.24994659260841701"/>
      </bottom>
      <diagonal/>
    </border>
    <border>
      <left/>
      <right/>
      <top style="thin">
        <color theme="0" tint="-0.24994659260841701"/>
      </top>
      <bottom style="thick">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bottom/>
      <diagonal/>
    </border>
    <border>
      <left/>
      <right/>
      <top style="thin">
        <color theme="1" tint="0.499984740745262"/>
      </top>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right/>
      <top style="thin">
        <color theme="0" tint="-0.249977111117893"/>
      </top>
      <bottom/>
      <diagonal/>
    </border>
    <border>
      <left style="thin">
        <color theme="0" tint="-0.24994659260841701"/>
      </left>
      <right style="thin">
        <color theme="0" tint="-0.249977111117893"/>
      </right>
      <top style="thin">
        <color theme="0" tint="-0.24994659260841701"/>
      </top>
      <bottom style="thin">
        <color theme="0" tint="-0.24997711111789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0" tint="-0.24994659260841701"/>
      </right>
      <top/>
      <bottom/>
      <diagonal/>
    </border>
    <border>
      <left style="thin">
        <color theme="0" tint="-0.24994659260841701"/>
      </left>
      <right style="thin">
        <color theme="0" tint="-0.24994659260841701"/>
      </right>
      <top/>
      <bottom/>
      <diagonal/>
    </border>
    <border>
      <left/>
      <right style="thin">
        <color theme="1" tint="0.499984740745262"/>
      </right>
      <top/>
      <bottom/>
      <diagonal/>
    </border>
    <border>
      <left style="thin">
        <color theme="1" tint="0.499984740745262"/>
      </left>
      <right style="thin">
        <color theme="0" tint="-0.24994659260841701"/>
      </right>
      <top/>
      <bottom style="thin">
        <color theme="1" tint="0.499984740745262"/>
      </bottom>
      <diagonal/>
    </border>
    <border>
      <left style="thin">
        <color theme="0" tint="-0.24994659260841701"/>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24994659260841701"/>
      </right>
      <top/>
      <bottom style="thin">
        <color theme="0" tint="-0.24994659260841701"/>
      </bottom>
      <diagonal/>
    </border>
    <border>
      <left/>
      <right style="thin">
        <color theme="0" tint="-0.499984740745262"/>
      </right>
      <top/>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499984740745262"/>
      </left>
      <right/>
      <top/>
      <bottom/>
      <diagonal/>
    </border>
    <border>
      <left style="thin">
        <color theme="0" tint="-0.499984740745262"/>
      </left>
      <right style="thin">
        <color theme="0" tint="-0.24994659260841701"/>
      </right>
      <top/>
      <bottom/>
      <diagonal/>
    </border>
    <border>
      <left style="thin">
        <color theme="0" tint="-0.499984740745262"/>
      </left>
      <right/>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right style="thin">
        <color theme="0" tint="-0.499984740745262"/>
      </right>
      <top/>
      <bottom style="thin">
        <color theme="0" tint="-0.499984740745262"/>
      </bottom>
      <diagonal/>
    </border>
    <border>
      <left style="thin">
        <color theme="0" tint="-0.249977111117893"/>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94">
    <xf numFmtId="0" fontId="0" fillId="0" borderId="0" xfId="0"/>
    <xf numFmtId="0" fontId="0" fillId="0" borderId="0" xfId="0" applyFill="1" applyBorder="1" applyProtection="1">
      <protection locked="0"/>
    </xf>
    <xf numFmtId="0" fontId="0" fillId="0" borderId="0" xfId="0"/>
    <xf numFmtId="0" fontId="19" fillId="0" borderId="0" xfId="0" applyFont="1"/>
    <xf numFmtId="0" fontId="0" fillId="0" borderId="0" xfId="0"/>
    <xf numFmtId="0" fontId="0" fillId="0" borderId="0" xfId="0" applyFont="1" applyFill="1"/>
    <xf numFmtId="0" fontId="0" fillId="34" borderId="0" xfId="0" applyFont="1" applyFill="1"/>
    <xf numFmtId="0" fontId="16" fillId="34" borderId="11" xfId="0" applyFont="1" applyFill="1" applyBorder="1" applyAlignment="1">
      <alignment horizontal="right"/>
    </xf>
    <xf numFmtId="0" fontId="0" fillId="34" borderId="12" xfId="0" applyFont="1" applyFill="1" applyBorder="1"/>
    <xf numFmtId="0" fontId="0" fillId="34" borderId="13" xfId="0" applyFont="1" applyFill="1" applyBorder="1"/>
    <xf numFmtId="0" fontId="0" fillId="34" borderId="0" xfId="0" applyFont="1" applyFill="1" applyBorder="1"/>
    <xf numFmtId="0" fontId="0" fillId="34" borderId="14" xfId="0" applyFont="1" applyFill="1" applyBorder="1"/>
    <xf numFmtId="0" fontId="0" fillId="34" borderId="15" xfId="0" applyFont="1" applyFill="1" applyBorder="1"/>
    <xf numFmtId="0" fontId="0" fillId="34" borderId="16" xfId="0" applyFont="1" applyFill="1" applyBorder="1"/>
    <xf numFmtId="165" fontId="0" fillId="34" borderId="0" xfId="0" applyNumberFormat="1" applyFont="1" applyFill="1" applyBorder="1"/>
    <xf numFmtId="0" fontId="21" fillId="34" borderId="0" xfId="0" applyFont="1" applyFill="1" applyBorder="1" applyAlignment="1">
      <alignment horizontal="left"/>
    </xf>
    <xf numFmtId="0" fontId="20" fillId="34" borderId="0" xfId="0" applyFont="1" applyFill="1" applyBorder="1" applyAlignment="1">
      <alignment horizontal="right"/>
    </xf>
    <xf numFmtId="0" fontId="0" fillId="34" borderId="17" xfId="0" applyFill="1" applyBorder="1" applyAlignment="1">
      <alignment horizontal="center"/>
    </xf>
    <xf numFmtId="0" fontId="0" fillId="33" borderId="17" xfId="0" applyFont="1" applyFill="1" applyBorder="1" applyAlignment="1">
      <alignment horizontal="center"/>
    </xf>
    <xf numFmtId="0" fontId="16" fillId="34" borderId="21" xfId="0" applyFont="1" applyFill="1" applyBorder="1" applyAlignment="1">
      <alignment horizontal="center"/>
    </xf>
    <xf numFmtId="0" fontId="16" fillId="34" borderId="22" xfId="0" applyFont="1" applyFill="1" applyBorder="1" applyAlignment="1">
      <alignment horizontal="center"/>
    </xf>
    <xf numFmtId="0" fontId="0" fillId="33" borderId="18" xfId="0" applyFont="1" applyFill="1" applyBorder="1" applyAlignment="1">
      <alignment horizontal="center"/>
    </xf>
    <xf numFmtId="0" fontId="0" fillId="33" borderId="28" xfId="0" applyFont="1" applyFill="1" applyBorder="1" applyAlignment="1">
      <alignment horizontal="center"/>
    </xf>
    <xf numFmtId="0" fontId="16" fillId="34" borderId="25" xfId="0" applyFont="1" applyFill="1" applyBorder="1" applyAlignment="1">
      <alignment horizontal="right"/>
    </xf>
    <xf numFmtId="0" fontId="20" fillId="34" borderId="26" xfId="0" applyFont="1" applyFill="1" applyBorder="1" applyAlignment="1">
      <alignment horizontal="right"/>
    </xf>
    <xf numFmtId="0" fontId="16" fillId="34" borderId="19" xfId="0" applyFont="1" applyFill="1" applyBorder="1" applyAlignment="1">
      <alignment horizontal="right"/>
    </xf>
    <xf numFmtId="0" fontId="16" fillId="34" borderId="27" xfId="0" applyFont="1" applyFill="1" applyBorder="1" applyAlignment="1">
      <alignment horizontal="right"/>
    </xf>
    <xf numFmtId="0" fontId="0" fillId="34" borderId="20" xfId="0" applyFill="1" applyBorder="1" applyAlignment="1">
      <alignment horizontal="center"/>
    </xf>
    <xf numFmtId="0" fontId="0" fillId="34" borderId="24" xfId="0" applyFill="1" applyBorder="1" applyAlignment="1">
      <alignment horizontal="left"/>
    </xf>
    <xf numFmtId="0" fontId="0" fillId="34" borderId="0" xfId="0" applyFill="1" applyBorder="1" applyAlignment="1">
      <alignment horizontal="left"/>
    </xf>
    <xf numFmtId="0" fontId="20" fillId="34" borderId="32" xfId="0" applyFont="1" applyFill="1" applyBorder="1" applyAlignment="1">
      <alignment horizontal="right"/>
    </xf>
    <xf numFmtId="164" fontId="0" fillId="33" borderId="17" xfId="0" applyNumberFormat="1" applyFont="1" applyFill="1" applyBorder="1" applyAlignment="1">
      <alignment horizontal="center"/>
    </xf>
    <xf numFmtId="0" fontId="0" fillId="34" borderId="22" xfId="0" applyFont="1" applyFill="1" applyBorder="1"/>
    <xf numFmtId="0" fontId="16" fillId="34" borderId="0" xfId="0" applyFont="1" applyFill="1" applyBorder="1" applyAlignment="1">
      <alignment horizontal="right"/>
    </xf>
    <xf numFmtId="0" fontId="20" fillId="34" borderId="23" xfId="0" applyFont="1" applyFill="1" applyBorder="1" applyAlignment="1">
      <alignment horizontal="right"/>
    </xf>
    <xf numFmtId="0" fontId="20" fillId="34" borderId="22" xfId="0" applyFont="1" applyFill="1" applyBorder="1" applyAlignment="1">
      <alignment horizontal="right"/>
    </xf>
    <xf numFmtId="0" fontId="0" fillId="34" borderId="30" xfId="0" applyFill="1" applyBorder="1" applyAlignment="1">
      <alignment horizontal="center"/>
    </xf>
    <xf numFmtId="0" fontId="0" fillId="34" borderId="33" xfId="0" applyFont="1" applyFill="1" applyBorder="1"/>
    <xf numFmtId="0" fontId="0" fillId="34" borderId="28" xfId="0" applyFont="1" applyFill="1" applyBorder="1"/>
    <xf numFmtId="0" fontId="0" fillId="34" borderId="21" xfId="0" applyFont="1" applyFill="1" applyBorder="1"/>
    <xf numFmtId="0" fontId="16" fillId="34" borderId="24" xfId="0" applyFont="1" applyFill="1" applyBorder="1" applyAlignment="1">
      <alignment horizontal="center"/>
    </xf>
    <xf numFmtId="0" fontId="16" fillId="34" borderId="0" xfId="0" applyFont="1" applyFill="1" applyBorder="1" applyAlignment="1">
      <alignment horizontal="center"/>
    </xf>
    <xf numFmtId="0" fontId="0" fillId="33" borderId="18" xfId="0" applyFont="1" applyFill="1" applyBorder="1" applyAlignment="1">
      <alignment horizontal="left"/>
    </xf>
    <xf numFmtId="0" fontId="22" fillId="34" borderId="0" xfId="0" applyFont="1" applyFill="1" applyBorder="1"/>
    <xf numFmtId="0" fontId="16" fillId="0" borderId="0" xfId="0" applyFont="1" applyFill="1" applyBorder="1" applyAlignment="1">
      <alignment horizontal="right"/>
    </xf>
    <xf numFmtId="0" fontId="0" fillId="34" borderId="30" xfId="0" applyFont="1" applyFill="1" applyBorder="1"/>
    <xf numFmtId="0" fontId="0" fillId="33" borderId="17" xfId="0" applyFont="1" applyFill="1" applyBorder="1"/>
    <xf numFmtId="0" fontId="0" fillId="33" borderId="18" xfId="0" applyFont="1" applyFill="1" applyBorder="1"/>
    <xf numFmtId="0" fontId="0" fillId="34" borderId="34" xfId="0" applyFont="1" applyFill="1" applyBorder="1"/>
    <xf numFmtId="0" fontId="0" fillId="34" borderId="33" xfId="0" applyFont="1" applyFill="1" applyBorder="1" applyAlignment="1">
      <alignment horizontal="left"/>
    </xf>
    <xf numFmtId="0" fontId="16" fillId="34" borderId="22" xfId="0" applyFont="1" applyFill="1" applyBorder="1" applyAlignment="1">
      <alignment horizontal="left"/>
    </xf>
    <xf numFmtId="0" fontId="0" fillId="34" borderId="34" xfId="0" applyFill="1" applyBorder="1"/>
    <xf numFmtId="0" fontId="0" fillId="33" borderId="30" xfId="0" applyFont="1" applyFill="1" applyBorder="1"/>
    <xf numFmtId="9" fontId="0" fillId="33" borderId="28" xfId="0" applyNumberFormat="1" applyFont="1" applyFill="1" applyBorder="1"/>
    <xf numFmtId="0" fontId="0" fillId="34" borderId="35" xfId="0" applyFont="1" applyFill="1" applyBorder="1" applyAlignment="1"/>
    <xf numFmtId="0" fontId="0" fillId="33" borderId="31" xfId="0" applyFont="1" applyFill="1" applyBorder="1" applyAlignment="1"/>
    <xf numFmtId="0" fontId="0" fillId="34" borderId="35" xfId="0" applyFill="1" applyBorder="1" applyAlignment="1"/>
    <xf numFmtId="166" fontId="0" fillId="33" borderId="28" xfId="43" applyNumberFormat="1" applyFont="1" applyFill="1" applyBorder="1" applyAlignment="1">
      <alignment horizontal="center"/>
    </xf>
    <xf numFmtId="0" fontId="0" fillId="33" borderId="30" xfId="0" applyNumberFormat="1" applyFont="1" applyFill="1" applyBorder="1"/>
    <xf numFmtId="0" fontId="0" fillId="34" borderId="34" xfId="0" applyFont="1" applyFill="1" applyBorder="1" applyAlignment="1">
      <alignment horizontal="left"/>
    </xf>
    <xf numFmtId="2" fontId="0" fillId="0" borderId="0" xfId="0" applyNumberFormat="1"/>
    <xf numFmtId="2" fontId="18" fillId="0" borderId="0" xfId="0" applyNumberFormat="1" applyFont="1" applyProtection="1">
      <protection hidden="1"/>
    </xf>
    <xf numFmtId="1" fontId="0" fillId="0" borderId="0" xfId="0" applyNumberFormat="1"/>
    <xf numFmtId="9" fontId="0" fillId="0" borderId="0" xfId="42" applyFont="1"/>
    <xf numFmtId="46" fontId="0" fillId="0" borderId="0" xfId="0" applyNumberFormat="1"/>
    <xf numFmtId="20" fontId="0" fillId="0" borderId="0" xfId="0" applyNumberFormat="1"/>
    <xf numFmtId="0" fontId="0" fillId="34" borderId="18" xfId="0" applyFont="1" applyFill="1" applyBorder="1" applyAlignment="1">
      <alignment horizontal="center"/>
    </xf>
    <xf numFmtId="0" fontId="0" fillId="34" borderId="28" xfId="0" applyFont="1" applyFill="1" applyBorder="1" applyAlignment="1">
      <alignment horizontal="center"/>
    </xf>
    <xf numFmtId="0" fontId="16" fillId="35" borderId="0" xfId="0" applyFont="1" applyFill="1" applyBorder="1" applyAlignment="1">
      <alignment horizontal="right"/>
    </xf>
    <xf numFmtId="0" fontId="0" fillId="35" borderId="0" xfId="0" applyFont="1" applyFill="1"/>
    <xf numFmtId="0" fontId="16" fillId="36" borderId="37" xfId="0" applyFont="1" applyFill="1" applyBorder="1" applyAlignment="1">
      <alignment horizontal="right"/>
    </xf>
    <xf numFmtId="0" fontId="16" fillId="36" borderId="38" xfId="0" applyFont="1" applyFill="1" applyBorder="1" applyAlignment="1">
      <alignment horizontal="right"/>
    </xf>
    <xf numFmtId="0" fontId="16" fillId="36" borderId="0" xfId="0" applyFont="1" applyFill="1" applyBorder="1" applyAlignment="1">
      <alignment horizontal="right"/>
    </xf>
    <xf numFmtId="0" fontId="16" fillId="37" borderId="36" xfId="0" applyFont="1" applyFill="1" applyBorder="1" applyAlignment="1">
      <alignment horizontal="right"/>
    </xf>
    <xf numFmtId="9" fontId="23" fillId="37" borderId="10" xfId="0" applyNumberFormat="1" applyFont="1" applyFill="1" applyBorder="1" applyAlignment="1">
      <alignment horizontal="center"/>
    </xf>
    <xf numFmtId="0" fontId="23" fillId="37" borderId="10" xfId="0" applyFont="1" applyFill="1" applyBorder="1" applyAlignment="1">
      <alignment horizontal="center"/>
    </xf>
    <xf numFmtId="9" fontId="16" fillId="38" borderId="36" xfId="0" applyNumberFormat="1" applyFont="1" applyFill="1" applyBorder="1" applyAlignment="1">
      <alignment horizontal="right"/>
    </xf>
    <xf numFmtId="0" fontId="0" fillId="34" borderId="30" xfId="0" applyFont="1" applyFill="1" applyBorder="1" applyAlignment="1">
      <alignment horizontal="right"/>
    </xf>
    <xf numFmtId="0" fontId="0" fillId="34" borderId="24" xfId="0" applyFill="1" applyBorder="1" applyAlignment="1">
      <alignment horizontal="center"/>
    </xf>
    <xf numFmtId="0" fontId="0" fillId="33" borderId="39" xfId="0" applyFont="1" applyFill="1" applyBorder="1" applyAlignment="1">
      <alignment horizontal="center"/>
    </xf>
    <xf numFmtId="0" fontId="0" fillId="34" borderId="40" xfId="0" applyFont="1" applyFill="1" applyBorder="1"/>
    <xf numFmtId="0" fontId="0" fillId="33" borderId="41" xfId="0" applyFont="1" applyFill="1" applyBorder="1" applyAlignment="1">
      <alignment horizontal="center"/>
    </xf>
    <xf numFmtId="0" fontId="0" fillId="33" borderId="30" xfId="0" applyFont="1" applyFill="1" applyBorder="1" applyAlignment="1">
      <alignment horizontal="center"/>
    </xf>
    <xf numFmtId="0" fontId="0" fillId="0" borderId="0" xfId="0" applyAlignment="1">
      <alignment vertical="top" wrapText="1"/>
    </xf>
    <xf numFmtId="0" fontId="16" fillId="34" borderId="21" xfId="0" applyFont="1" applyFill="1" applyBorder="1" applyAlignment="1">
      <alignment horizontal="left"/>
    </xf>
    <xf numFmtId="0" fontId="16" fillId="38" borderId="37" xfId="0" applyFont="1" applyFill="1" applyBorder="1" applyAlignment="1">
      <alignment horizontal="right"/>
    </xf>
    <xf numFmtId="0" fontId="0" fillId="36" borderId="0" xfId="0" applyFont="1" applyFill="1"/>
    <xf numFmtId="9" fontId="0" fillId="36" borderId="0" xfId="0" applyNumberFormat="1" applyFont="1" applyFill="1"/>
    <xf numFmtId="0" fontId="0" fillId="36" borderId="0" xfId="0" applyFill="1"/>
    <xf numFmtId="0" fontId="16" fillId="34" borderId="20" xfId="0" applyFont="1" applyFill="1" applyBorder="1" applyAlignment="1">
      <alignment horizontal="center"/>
    </xf>
    <xf numFmtId="0" fontId="24" fillId="34" borderId="19" xfId="0" applyFont="1" applyFill="1" applyBorder="1" applyAlignment="1">
      <alignment horizontal="right"/>
    </xf>
    <xf numFmtId="0" fontId="25" fillId="34" borderId="20" xfId="0" applyFont="1" applyFill="1" applyBorder="1"/>
    <xf numFmtId="0" fontId="25" fillId="34" borderId="21" xfId="0" applyFont="1" applyFill="1" applyBorder="1"/>
    <xf numFmtId="0" fontId="24" fillId="34" borderId="22" xfId="0" applyFont="1" applyFill="1" applyBorder="1" applyAlignment="1">
      <alignment horizontal="right"/>
    </xf>
    <xf numFmtId="0" fontId="25" fillId="34" borderId="28" xfId="0" applyFont="1" applyFill="1" applyBorder="1"/>
    <xf numFmtId="0" fontId="25" fillId="34" borderId="0" xfId="0" applyFont="1" applyFill="1" applyBorder="1" applyAlignment="1">
      <alignment horizontal="left"/>
    </xf>
    <xf numFmtId="0" fontId="24" fillId="34" borderId="33" xfId="0" applyFont="1" applyFill="1" applyBorder="1" applyAlignment="1">
      <alignment horizontal="right"/>
    </xf>
    <xf numFmtId="0" fontId="25" fillId="34" borderId="33" xfId="0" applyFont="1" applyFill="1" applyBorder="1" applyAlignment="1">
      <alignment horizontal="left"/>
    </xf>
    <xf numFmtId="165" fontId="25" fillId="34" borderId="21" xfId="0" applyNumberFormat="1" applyFont="1" applyFill="1" applyBorder="1"/>
    <xf numFmtId="0" fontId="25" fillId="34" borderId="22" xfId="0" applyFont="1" applyFill="1" applyBorder="1" applyAlignment="1">
      <alignment horizontal="left"/>
    </xf>
    <xf numFmtId="0" fontId="25" fillId="34" borderId="22" xfId="0" applyFont="1" applyFill="1" applyBorder="1"/>
    <xf numFmtId="165" fontId="25" fillId="34" borderId="0" xfId="0" applyNumberFormat="1" applyFont="1" applyFill="1" applyBorder="1"/>
    <xf numFmtId="0" fontId="25" fillId="34" borderId="33" xfId="0" applyFont="1" applyFill="1" applyBorder="1"/>
    <xf numFmtId="43" fontId="25" fillId="34" borderId="33" xfId="43" applyFont="1" applyFill="1" applyBorder="1" applyAlignment="1">
      <alignment shrinkToFit="1"/>
    </xf>
    <xf numFmtId="43" fontId="25" fillId="34" borderId="22" xfId="43" applyFont="1" applyFill="1" applyBorder="1" applyAlignment="1">
      <alignment shrinkToFit="1"/>
    </xf>
    <xf numFmtId="0" fontId="27" fillId="34" borderId="19" xfId="0" applyFont="1" applyFill="1" applyBorder="1" applyAlignment="1">
      <alignment horizontal="right"/>
    </xf>
    <xf numFmtId="0" fontId="27" fillId="34" borderId="23" xfId="0" applyFont="1" applyFill="1" applyBorder="1" applyAlignment="1">
      <alignment horizontal="right"/>
    </xf>
    <xf numFmtId="0" fontId="27" fillId="34" borderId="29" xfId="0" applyFont="1" applyFill="1" applyBorder="1" applyAlignment="1">
      <alignment horizontal="right"/>
    </xf>
    <xf numFmtId="0" fontId="29" fillId="34" borderId="33" xfId="0" applyFont="1" applyFill="1" applyBorder="1"/>
    <xf numFmtId="0" fontId="28" fillId="34" borderId="0" xfId="0" applyFont="1" applyFill="1" applyBorder="1" applyAlignment="1">
      <alignment horizontal="right"/>
    </xf>
    <xf numFmtId="0" fontId="29" fillId="34" borderId="0" xfId="0" applyFont="1" applyFill="1" applyBorder="1" applyAlignment="1">
      <alignment horizontal="left"/>
    </xf>
    <xf numFmtId="43" fontId="29" fillId="34" borderId="22" xfId="43" applyFont="1" applyFill="1" applyBorder="1" applyAlignment="1">
      <alignment shrinkToFit="1"/>
    </xf>
    <xf numFmtId="0" fontId="29" fillId="34" borderId="22" xfId="0" applyFont="1" applyFill="1" applyBorder="1"/>
    <xf numFmtId="43" fontId="29" fillId="34" borderId="33" xfId="43" applyFont="1" applyFill="1" applyBorder="1" applyAlignment="1">
      <alignment shrinkToFit="1"/>
    </xf>
    <xf numFmtId="0" fontId="29" fillId="34" borderId="0" xfId="0" applyFont="1" applyFill="1" applyBorder="1"/>
    <xf numFmtId="0" fontId="25" fillId="34" borderId="0" xfId="0" applyFont="1" applyFill="1" applyBorder="1"/>
    <xf numFmtId="0" fontId="16" fillId="34" borderId="42" xfId="0" applyFont="1" applyFill="1" applyBorder="1" applyAlignment="1">
      <alignment horizontal="right"/>
    </xf>
    <xf numFmtId="0" fontId="0" fillId="34" borderId="38" xfId="0" applyFont="1" applyFill="1" applyBorder="1"/>
    <xf numFmtId="0" fontId="0" fillId="39" borderId="43" xfId="0" applyFont="1" applyFill="1" applyBorder="1"/>
    <xf numFmtId="0" fontId="27" fillId="34" borderId="44" xfId="0" applyFont="1" applyFill="1" applyBorder="1" applyAlignment="1">
      <alignment horizontal="right"/>
    </xf>
    <xf numFmtId="0" fontId="16" fillId="34" borderId="45" xfId="0" applyFont="1" applyFill="1" applyBorder="1" applyAlignment="1">
      <alignment horizontal="center"/>
    </xf>
    <xf numFmtId="0" fontId="0" fillId="39" borderId="46" xfId="0" applyFont="1" applyFill="1" applyBorder="1"/>
    <xf numFmtId="0" fontId="16" fillId="34" borderId="44" xfId="0" applyFont="1" applyFill="1" applyBorder="1" applyAlignment="1">
      <alignment horizontal="right"/>
    </xf>
    <xf numFmtId="0" fontId="0" fillId="34" borderId="45" xfId="0" applyFill="1" applyBorder="1" applyAlignment="1">
      <alignment horizontal="center"/>
    </xf>
    <xf numFmtId="0" fontId="16" fillId="34" borderId="23" xfId="0" applyFont="1" applyFill="1" applyBorder="1" applyAlignment="1">
      <alignment horizontal="right"/>
    </xf>
    <xf numFmtId="0" fontId="20" fillId="34" borderId="44" xfId="0" applyFont="1" applyFill="1" applyBorder="1" applyAlignment="1">
      <alignment horizontal="right"/>
    </xf>
    <xf numFmtId="0" fontId="0" fillId="33" borderId="45" xfId="0" applyFont="1" applyFill="1" applyBorder="1" applyAlignment="1">
      <alignment horizontal="center"/>
    </xf>
    <xf numFmtId="0" fontId="16" fillId="34" borderId="37" xfId="0" applyFont="1" applyFill="1" applyBorder="1" applyAlignment="1">
      <alignment horizontal="right"/>
    </xf>
    <xf numFmtId="0" fontId="28" fillId="34" borderId="44" xfId="0" applyFont="1" applyFill="1" applyBorder="1" applyAlignment="1">
      <alignment horizontal="right"/>
    </xf>
    <xf numFmtId="0" fontId="29" fillId="34" borderId="45" xfId="0" applyFont="1" applyFill="1" applyBorder="1"/>
    <xf numFmtId="0" fontId="29" fillId="34" borderId="24" xfId="0" applyFont="1" applyFill="1" applyBorder="1"/>
    <xf numFmtId="0" fontId="28" fillId="34" borderId="23" xfId="0" applyFont="1" applyFill="1" applyBorder="1" applyAlignment="1">
      <alignment horizontal="right"/>
    </xf>
    <xf numFmtId="0" fontId="28" fillId="34" borderId="37" xfId="0" applyFont="1" applyFill="1" applyBorder="1" applyAlignment="1">
      <alignment horizontal="right"/>
    </xf>
    <xf numFmtId="0" fontId="20" fillId="34" borderId="37" xfId="0" applyFont="1" applyFill="1" applyBorder="1" applyAlignment="1">
      <alignment horizontal="right"/>
    </xf>
    <xf numFmtId="0" fontId="0" fillId="33" borderId="24" xfId="0" applyFont="1" applyFill="1" applyBorder="1" applyAlignment="1">
      <alignment horizontal="center"/>
    </xf>
    <xf numFmtId="0" fontId="0" fillId="34" borderId="0" xfId="0" applyFont="1" applyFill="1" applyBorder="1" applyAlignment="1">
      <alignment horizontal="left"/>
    </xf>
    <xf numFmtId="0" fontId="24" fillId="34" borderId="37" xfId="0" applyFont="1" applyFill="1" applyBorder="1" applyAlignment="1">
      <alignment horizontal="right"/>
    </xf>
    <xf numFmtId="165" fontId="25" fillId="34" borderId="24" xfId="0" applyNumberFormat="1" applyFont="1" applyFill="1" applyBorder="1"/>
    <xf numFmtId="0" fontId="26" fillId="34" borderId="47" xfId="0" applyFont="1" applyFill="1" applyBorder="1" applyAlignment="1">
      <alignment horizontal="right"/>
    </xf>
    <xf numFmtId="165" fontId="25" fillId="34" borderId="48" xfId="0" applyNumberFormat="1" applyFont="1" applyFill="1" applyBorder="1"/>
    <xf numFmtId="0" fontId="25" fillId="34" borderId="49" xfId="0" applyFont="1" applyFill="1" applyBorder="1" applyAlignment="1">
      <alignment horizontal="left"/>
    </xf>
    <xf numFmtId="0" fontId="25" fillId="34" borderId="49" xfId="0" applyFont="1" applyFill="1" applyBorder="1"/>
    <xf numFmtId="0" fontId="0" fillId="34" borderId="49" xfId="0" applyFont="1" applyFill="1" applyBorder="1"/>
    <xf numFmtId="0" fontId="16" fillId="34" borderId="51" xfId="0" applyFont="1" applyFill="1" applyBorder="1" applyAlignment="1">
      <alignment horizontal="right"/>
    </xf>
    <xf numFmtId="0" fontId="0" fillId="34" borderId="52" xfId="0" applyFont="1" applyFill="1" applyBorder="1"/>
    <xf numFmtId="0" fontId="0" fillId="39" borderId="53" xfId="0" applyFont="1" applyFill="1" applyBorder="1"/>
    <xf numFmtId="0" fontId="27" fillId="34" borderId="54" xfId="0" applyFont="1" applyFill="1" applyBorder="1" applyAlignment="1">
      <alignment horizontal="right"/>
    </xf>
    <xf numFmtId="0" fontId="0" fillId="39" borderId="55" xfId="0" applyFont="1" applyFill="1" applyBorder="1"/>
    <xf numFmtId="0" fontId="16" fillId="34" borderId="56" xfId="0" applyFont="1" applyFill="1" applyBorder="1" applyAlignment="1">
      <alignment horizontal="right"/>
    </xf>
    <xf numFmtId="0" fontId="20" fillId="34" borderId="56" xfId="0" applyFont="1" applyFill="1" applyBorder="1" applyAlignment="1">
      <alignment horizontal="right"/>
    </xf>
    <xf numFmtId="0" fontId="20" fillId="34" borderId="57" xfId="0" applyFont="1" applyFill="1" applyBorder="1" applyAlignment="1">
      <alignment horizontal="right"/>
    </xf>
    <xf numFmtId="0" fontId="16" fillId="34" borderId="58" xfId="0" applyFont="1" applyFill="1" applyBorder="1" applyAlignment="1">
      <alignment horizontal="right"/>
    </xf>
    <xf numFmtId="0" fontId="24" fillId="34" borderId="54" xfId="0" applyFont="1" applyFill="1" applyBorder="1" applyAlignment="1">
      <alignment horizontal="right"/>
    </xf>
    <xf numFmtId="0" fontId="24" fillId="34" borderId="58" xfId="0" applyFont="1" applyFill="1" applyBorder="1" applyAlignment="1">
      <alignment horizontal="right"/>
    </xf>
    <xf numFmtId="0" fontId="20" fillId="34" borderId="58" xfId="0" applyFont="1" applyFill="1" applyBorder="1" applyAlignment="1">
      <alignment horizontal="right"/>
    </xf>
    <xf numFmtId="0" fontId="27" fillId="34" borderId="59" xfId="0" applyFont="1" applyFill="1" applyBorder="1" applyAlignment="1">
      <alignment horizontal="right"/>
    </xf>
    <xf numFmtId="0" fontId="16" fillId="34" borderId="57" xfId="0" applyFont="1" applyFill="1" applyBorder="1" applyAlignment="1">
      <alignment horizontal="right"/>
    </xf>
    <xf numFmtId="0" fontId="24" fillId="34" borderId="60" xfId="0" applyFont="1" applyFill="1" applyBorder="1" applyAlignment="1">
      <alignment horizontal="right"/>
    </xf>
    <xf numFmtId="0" fontId="26" fillId="34" borderId="61" xfId="0" applyFont="1" applyFill="1" applyBorder="1" applyAlignment="1">
      <alignment horizontal="right"/>
    </xf>
    <xf numFmtId="165" fontId="25" fillId="34" borderId="62" xfId="0" applyNumberFormat="1" applyFont="1" applyFill="1" applyBorder="1"/>
    <xf numFmtId="0" fontId="25" fillId="34" borderId="63" xfId="0" applyFont="1" applyFill="1" applyBorder="1" applyAlignment="1">
      <alignment horizontal="left"/>
    </xf>
    <xf numFmtId="0" fontId="25" fillId="34" borderId="63" xfId="0" applyFont="1" applyFill="1" applyBorder="1"/>
    <xf numFmtId="0" fontId="0" fillId="34" borderId="63" xfId="0" applyFont="1" applyFill="1" applyBorder="1"/>
    <xf numFmtId="0" fontId="20" fillId="34" borderId="51" xfId="0" applyFont="1" applyFill="1" applyBorder="1" applyAlignment="1">
      <alignment horizontal="right"/>
    </xf>
    <xf numFmtId="165" fontId="0" fillId="34" borderId="52" xfId="0" applyNumberFormat="1" applyFont="1" applyFill="1" applyBorder="1"/>
    <xf numFmtId="0" fontId="21" fillId="34" borderId="52" xfId="0" applyFont="1" applyFill="1" applyBorder="1" applyAlignment="1">
      <alignment horizontal="left"/>
    </xf>
    <xf numFmtId="0" fontId="0" fillId="39" borderId="65" xfId="0" applyFont="1" applyFill="1" applyBorder="1"/>
    <xf numFmtId="0" fontId="24" fillId="34" borderId="57" xfId="0" applyFont="1" applyFill="1" applyBorder="1" applyAlignment="1">
      <alignment horizontal="right"/>
    </xf>
    <xf numFmtId="0" fontId="16" fillId="34" borderId="66" xfId="0" applyFont="1" applyFill="1" applyBorder="1" applyAlignment="1">
      <alignment horizontal="right"/>
    </xf>
    <xf numFmtId="0" fontId="0" fillId="34" borderId="67" xfId="0" applyFont="1" applyFill="1" applyBorder="1"/>
    <xf numFmtId="0" fontId="28" fillId="34" borderId="54" xfId="0" applyFont="1" applyFill="1" applyBorder="1" applyAlignment="1">
      <alignment horizontal="right"/>
    </xf>
    <xf numFmtId="0" fontId="28" fillId="34" borderId="57" xfId="0" applyFont="1" applyFill="1" applyBorder="1" applyAlignment="1">
      <alignment horizontal="right"/>
    </xf>
    <xf numFmtId="0" fontId="0" fillId="42" borderId="10" xfId="0" applyFill="1" applyBorder="1"/>
    <xf numFmtId="0" fontId="0" fillId="41" borderId="10" xfId="0" applyFill="1" applyBorder="1"/>
    <xf numFmtId="0" fontId="0" fillId="43" borderId="10" xfId="0" applyFill="1" applyBorder="1"/>
    <xf numFmtId="0" fontId="0" fillId="44" borderId="10" xfId="0" applyFill="1" applyBorder="1"/>
    <xf numFmtId="0" fontId="0" fillId="45" borderId="10" xfId="0" applyFill="1" applyBorder="1"/>
    <xf numFmtId="0" fontId="0" fillId="40" borderId="10" xfId="0" applyFill="1" applyBorder="1"/>
    <xf numFmtId="0" fontId="0" fillId="0" borderId="0" xfId="0" applyAlignment="1">
      <alignment horizontal="left" vertical="top" wrapText="1"/>
    </xf>
    <xf numFmtId="0" fontId="22" fillId="35" borderId="0" xfId="0" applyFont="1" applyFill="1" applyBorder="1" applyAlignment="1">
      <alignment horizontal="center"/>
    </xf>
    <xf numFmtId="0" fontId="16" fillId="34" borderId="20" xfId="0" applyFont="1" applyFill="1" applyBorder="1" applyAlignment="1">
      <alignment horizontal="center"/>
    </xf>
    <xf numFmtId="0" fontId="0" fillId="34" borderId="20" xfId="0" applyFill="1" applyBorder="1" applyAlignment="1">
      <alignment horizontal="left"/>
    </xf>
    <xf numFmtId="0" fontId="0" fillId="34" borderId="20" xfId="0" applyFont="1" applyFill="1" applyBorder="1" applyAlignment="1">
      <alignment horizontal="left"/>
    </xf>
    <xf numFmtId="0" fontId="0" fillId="34" borderId="21" xfId="0" applyFont="1" applyFill="1" applyBorder="1" applyAlignment="1">
      <alignment horizontal="left"/>
    </xf>
    <xf numFmtId="0" fontId="0" fillId="34" borderId="22" xfId="0" applyFont="1" applyFill="1" applyBorder="1" applyAlignment="1">
      <alignment horizontal="left"/>
    </xf>
    <xf numFmtId="0" fontId="16" fillId="34" borderId="45" xfId="0" applyFont="1" applyFill="1" applyBorder="1" applyAlignment="1">
      <alignment horizontal="center"/>
    </xf>
    <xf numFmtId="0" fontId="30" fillId="39" borderId="55" xfId="0" applyFont="1" applyFill="1" applyBorder="1" applyAlignment="1">
      <alignment textRotation="90"/>
    </xf>
    <xf numFmtId="0" fontId="17" fillId="0" borderId="55" xfId="0" applyFont="1" applyBorder="1" applyAlignment="1"/>
    <xf numFmtId="0" fontId="17" fillId="0" borderId="64" xfId="0" applyFont="1" applyBorder="1" applyAlignment="1"/>
    <xf numFmtId="0" fontId="30" fillId="0" borderId="55" xfId="0" applyFont="1" applyBorder="1" applyAlignment="1">
      <alignment textRotation="90"/>
    </xf>
    <xf numFmtId="0" fontId="30" fillId="0" borderId="64" xfId="0" applyFont="1" applyBorder="1" applyAlignment="1">
      <alignment textRotation="90"/>
    </xf>
    <xf numFmtId="0" fontId="30" fillId="39" borderId="46" xfId="0" applyFont="1" applyFill="1" applyBorder="1" applyAlignment="1">
      <alignment textRotation="90"/>
    </xf>
    <xf numFmtId="0" fontId="30" fillId="0" borderId="46" xfId="0" applyFont="1" applyBorder="1" applyAlignment="1">
      <alignment textRotation="90"/>
    </xf>
    <xf numFmtId="0" fontId="30" fillId="0" borderId="50" xfId="0" applyFont="1" applyBorder="1" applyAlignment="1">
      <alignment textRotation="90"/>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3.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4.emf"/><Relationship Id="rId17" Type="http://schemas.openxmlformats.org/officeDocument/2006/relationships/image" Target="../media/image1.emf"/><Relationship Id="rId2" Type="http://schemas.openxmlformats.org/officeDocument/2006/relationships/image" Target="../media/image9.emf"/><Relationship Id="rId16" Type="http://schemas.openxmlformats.org/officeDocument/2006/relationships/image" Target="../media/image2.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image" Target="../media/image6.emf"/><Relationship Id="rId4" Type="http://schemas.openxmlformats.org/officeDocument/2006/relationships/image" Target="../media/image11.emf"/><Relationship Id="rId9" Type="http://schemas.openxmlformats.org/officeDocument/2006/relationships/image" Target="../media/image7.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514350</xdr:colOff>
          <xdr:row>1</xdr:row>
          <xdr:rowOff>180975</xdr:rowOff>
        </xdr:from>
        <xdr:to>
          <xdr:col>13</xdr:col>
          <xdr:colOff>495300</xdr:colOff>
          <xdr:row>4</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Climate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5</xdr:row>
          <xdr:rowOff>161925</xdr:rowOff>
        </xdr:from>
        <xdr:to>
          <xdr:col>28</xdr:col>
          <xdr:colOff>9525</xdr:colOff>
          <xdr:row>7</xdr:row>
          <xdr:rowOff>123825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Default to Design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6</xdr:row>
          <xdr:rowOff>19050</xdr:rowOff>
        </xdr:from>
        <xdr:to>
          <xdr:col>12</xdr:col>
          <xdr:colOff>552450</xdr:colOff>
          <xdr:row>7</xdr:row>
          <xdr:rowOff>180975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Default to Design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41</xdr:row>
          <xdr:rowOff>57150</xdr:rowOff>
        </xdr:from>
        <xdr:to>
          <xdr:col>12</xdr:col>
          <xdr:colOff>561975</xdr:colOff>
          <xdr:row>45</xdr:row>
          <xdr:rowOff>28575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Calculate Design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142875</xdr:colOff>
          <xdr:row>41</xdr:row>
          <xdr:rowOff>57150</xdr:rowOff>
        </xdr:from>
        <xdr:to>
          <xdr:col>27</xdr:col>
          <xdr:colOff>561975</xdr:colOff>
          <xdr:row>45</xdr:row>
          <xdr:rowOff>28575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Calculate Design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76</xdr:row>
          <xdr:rowOff>76200</xdr:rowOff>
        </xdr:from>
        <xdr:to>
          <xdr:col>0</xdr:col>
          <xdr:colOff>1600200</xdr:colOff>
          <xdr:row>83</xdr:row>
          <xdr:rowOff>9525</xdr:rowOff>
        </xdr:to>
        <xdr:sp macro="" textlink="">
          <xdr:nvSpPr>
            <xdr:cNvPr id="2070" name="Group Box 22" hidden="1">
              <a:extLst>
                <a:ext uri="{63B3BB69-23CF-44E3-9099-C40C66FF867C}">
                  <a14:compatExt spid="_x0000_s207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Window Orientation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77</xdr:row>
          <xdr:rowOff>9525</xdr:rowOff>
        </xdr:from>
        <xdr:to>
          <xdr:col>0</xdr:col>
          <xdr:colOff>1495425</xdr:colOff>
          <xdr:row>78</xdr:row>
          <xdr:rowOff>85725</xdr:rowOff>
        </xdr:to>
        <xdr:sp macro="" textlink="">
          <xdr:nvSpPr>
            <xdr:cNvPr id="2096" name="OptionButton1" hidden="1">
              <a:extLst>
                <a:ext uri="{63B3BB69-23CF-44E3-9099-C40C66FF867C}">
                  <a14:compatExt spid="_x0000_s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78</xdr:row>
          <xdr:rowOff>66675</xdr:rowOff>
        </xdr:from>
        <xdr:to>
          <xdr:col>0</xdr:col>
          <xdr:colOff>1495425</xdr:colOff>
          <xdr:row>79</xdr:row>
          <xdr:rowOff>142875</xdr:rowOff>
        </xdr:to>
        <xdr:sp macro="" textlink="">
          <xdr:nvSpPr>
            <xdr:cNvPr id="2097" name="OptionButton2"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79</xdr:row>
          <xdr:rowOff>133350</xdr:rowOff>
        </xdr:from>
        <xdr:to>
          <xdr:col>0</xdr:col>
          <xdr:colOff>1495425</xdr:colOff>
          <xdr:row>81</xdr:row>
          <xdr:rowOff>19050</xdr:rowOff>
        </xdr:to>
        <xdr:sp macro="" textlink="">
          <xdr:nvSpPr>
            <xdr:cNvPr id="2098" name="OptionButton3"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81</xdr:row>
          <xdr:rowOff>9525</xdr:rowOff>
        </xdr:from>
        <xdr:to>
          <xdr:col>0</xdr:col>
          <xdr:colOff>1495425</xdr:colOff>
          <xdr:row>82</xdr:row>
          <xdr:rowOff>85725</xdr:rowOff>
        </xdr:to>
        <xdr:sp macro="" textlink="">
          <xdr:nvSpPr>
            <xdr:cNvPr id="2099" name="OptionButton4" hidden="1">
              <a:extLst>
                <a:ext uri="{63B3BB69-23CF-44E3-9099-C40C66FF867C}">
                  <a14:compatExt spid="_x0000_s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304800</xdr:colOff>
          <xdr:row>76</xdr:row>
          <xdr:rowOff>85725</xdr:rowOff>
        </xdr:from>
        <xdr:to>
          <xdr:col>15</xdr:col>
          <xdr:colOff>1609725</xdr:colOff>
          <xdr:row>83</xdr:row>
          <xdr:rowOff>19050</xdr:rowOff>
        </xdr:to>
        <xdr:sp macro="" textlink="">
          <xdr:nvSpPr>
            <xdr:cNvPr id="2100" name="Group Box 52" hidden="1">
              <a:extLst>
                <a:ext uri="{63B3BB69-23CF-44E3-9099-C40C66FF867C}">
                  <a14:compatExt spid="_x0000_s210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Window Orientation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400050</xdr:colOff>
          <xdr:row>77</xdr:row>
          <xdr:rowOff>19050</xdr:rowOff>
        </xdr:from>
        <xdr:to>
          <xdr:col>15</xdr:col>
          <xdr:colOff>1504950</xdr:colOff>
          <xdr:row>78</xdr:row>
          <xdr:rowOff>95250</xdr:rowOff>
        </xdr:to>
        <xdr:sp macro="" textlink="">
          <xdr:nvSpPr>
            <xdr:cNvPr id="2101" name="OptionButton5" hidden="1">
              <a:extLst>
                <a:ext uri="{63B3BB69-23CF-44E3-9099-C40C66FF867C}">
                  <a14:compatExt spid="_x0000_s2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400050</xdr:colOff>
          <xdr:row>78</xdr:row>
          <xdr:rowOff>76200</xdr:rowOff>
        </xdr:from>
        <xdr:to>
          <xdr:col>15</xdr:col>
          <xdr:colOff>1504950</xdr:colOff>
          <xdr:row>79</xdr:row>
          <xdr:rowOff>152400</xdr:rowOff>
        </xdr:to>
        <xdr:sp macro="" textlink="">
          <xdr:nvSpPr>
            <xdr:cNvPr id="2102" name="OptionButton6" hidden="1">
              <a:extLst>
                <a:ext uri="{63B3BB69-23CF-44E3-9099-C40C66FF867C}">
                  <a14:compatExt spid="_x0000_s2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400050</xdr:colOff>
          <xdr:row>79</xdr:row>
          <xdr:rowOff>142875</xdr:rowOff>
        </xdr:from>
        <xdr:to>
          <xdr:col>15</xdr:col>
          <xdr:colOff>1504950</xdr:colOff>
          <xdr:row>81</xdr:row>
          <xdr:rowOff>28575</xdr:rowOff>
        </xdr:to>
        <xdr:sp macro="" textlink="">
          <xdr:nvSpPr>
            <xdr:cNvPr id="2103" name="OptionButton7" hidden="1">
              <a:extLst>
                <a:ext uri="{63B3BB69-23CF-44E3-9099-C40C66FF867C}">
                  <a14:compatExt spid="_x0000_s2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400050</xdr:colOff>
          <xdr:row>81</xdr:row>
          <xdr:rowOff>19050</xdr:rowOff>
        </xdr:from>
        <xdr:to>
          <xdr:col>15</xdr:col>
          <xdr:colOff>1504950</xdr:colOff>
          <xdr:row>82</xdr:row>
          <xdr:rowOff>95250</xdr:rowOff>
        </xdr:to>
        <xdr:sp macro="" textlink="">
          <xdr:nvSpPr>
            <xdr:cNvPr id="2104" name="OptionButton8" hidden="1">
              <a:extLst>
                <a:ext uri="{63B3BB69-23CF-44E3-9099-C40C66FF867C}">
                  <a14:compatExt spid="_x0000_s2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77</xdr:row>
          <xdr:rowOff>123825</xdr:rowOff>
        </xdr:from>
        <xdr:to>
          <xdr:col>10</xdr:col>
          <xdr:colOff>219075</xdr:colOff>
          <xdr:row>79</xdr:row>
          <xdr:rowOff>0</xdr:rowOff>
        </xdr:to>
        <xdr:sp macro="" textlink="">
          <xdr:nvSpPr>
            <xdr:cNvPr id="2105" name="colorToggle1" hidden="1">
              <a:extLst>
                <a:ext uri="{63B3BB69-23CF-44E3-9099-C40C66FF867C}">
                  <a14:compatExt spid="_x0000_s2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78</xdr:row>
          <xdr:rowOff>180975</xdr:rowOff>
        </xdr:from>
        <xdr:to>
          <xdr:col>10</xdr:col>
          <xdr:colOff>219075</xdr:colOff>
          <xdr:row>80</xdr:row>
          <xdr:rowOff>57150</xdr:rowOff>
        </xdr:to>
        <xdr:sp macro="" textlink="">
          <xdr:nvSpPr>
            <xdr:cNvPr id="2107" name="binToggle1" hidden="1">
              <a:extLst>
                <a:ext uri="{63B3BB69-23CF-44E3-9099-C40C66FF867C}">
                  <a14:compatExt spid="_x0000_s2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77</xdr:row>
          <xdr:rowOff>114300</xdr:rowOff>
        </xdr:from>
        <xdr:to>
          <xdr:col>25</xdr:col>
          <xdr:colOff>219075</xdr:colOff>
          <xdr:row>78</xdr:row>
          <xdr:rowOff>180975</xdr:rowOff>
        </xdr:to>
        <xdr:sp macro="" textlink="">
          <xdr:nvSpPr>
            <xdr:cNvPr id="2108" name="colorToggle2"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78</xdr:row>
          <xdr:rowOff>171450</xdr:rowOff>
        </xdr:from>
        <xdr:to>
          <xdr:col>25</xdr:col>
          <xdr:colOff>219075</xdr:colOff>
          <xdr:row>80</xdr:row>
          <xdr:rowOff>47625</xdr:rowOff>
        </xdr:to>
        <xdr:sp macro="" textlink="">
          <xdr:nvSpPr>
            <xdr:cNvPr id="2109" name="binToggle2" hidden="1">
              <a:extLst>
                <a:ext uri="{63B3BB69-23CF-44E3-9099-C40C66FF867C}">
                  <a14:compatExt spid="_x0000_s2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80</xdr:row>
          <xdr:rowOff>171450</xdr:rowOff>
        </xdr:from>
        <xdr:to>
          <xdr:col>4</xdr:col>
          <xdr:colOff>28575</xdr:colOff>
          <xdr:row>83</xdr:row>
          <xdr:rowOff>57150</xdr:rowOff>
        </xdr:to>
        <xdr:sp macro="" textlink="">
          <xdr:nvSpPr>
            <xdr:cNvPr id="2110" name="diffToggle1" hidden="1">
              <a:extLst>
                <a:ext uri="{63B3BB69-23CF-44E3-9099-C40C66FF867C}">
                  <a14:compatExt spid="_x0000_s2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80</xdr:row>
          <xdr:rowOff>133350</xdr:rowOff>
        </xdr:from>
        <xdr:to>
          <xdr:col>19</xdr:col>
          <xdr:colOff>57150</xdr:colOff>
          <xdr:row>83</xdr:row>
          <xdr:rowOff>19050</xdr:rowOff>
        </xdr:to>
        <xdr:sp macro="" textlink="">
          <xdr:nvSpPr>
            <xdr:cNvPr id="2111" name="diffToggle2"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304800</xdr:colOff>
          <xdr:row>1</xdr:row>
          <xdr:rowOff>95250</xdr:rowOff>
        </xdr:from>
        <xdr:to>
          <xdr:col>28</xdr:col>
          <xdr:colOff>0</xdr:colOff>
          <xdr:row>2</xdr:row>
          <xdr:rowOff>180975</xdr:rowOff>
        </xdr:to>
        <xdr:sp macro="" textlink="">
          <xdr:nvSpPr>
            <xdr:cNvPr id="2112" name="CheckBox1"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342900</xdr:colOff>
          <xdr:row>3</xdr:row>
          <xdr:rowOff>9525</xdr:rowOff>
        </xdr:from>
        <xdr:to>
          <xdr:col>27</xdr:col>
          <xdr:colOff>581025</xdr:colOff>
          <xdr:row>4</xdr:row>
          <xdr:rowOff>123825</xdr:rowOff>
        </xdr:to>
        <xdr:sp macro="" textlink="">
          <xdr:nvSpPr>
            <xdr:cNvPr id="2113" name="Button 65" hidden="1">
              <a:extLst>
                <a:ext uri="{63B3BB69-23CF-44E3-9099-C40C66FF867C}">
                  <a14:compatExt spid="_x0000_s2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Climate Data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116</xdr:row>
          <xdr:rowOff>123825</xdr:rowOff>
        </xdr:from>
        <xdr:to>
          <xdr:col>0</xdr:col>
          <xdr:colOff>1628775</xdr:colOff>
          <xdr:row>117</xdr:row>
          <xdr:rowOff>180975</xdr:rowOff>
        </xdr:to>
        <xdr:sp macro="" textlink="">
          <xdr:nvSpPr>
            <xdr:cNvPr id="2115" name="monthListA"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116</xdr:row>
          <xdr:rowOff>123825</xdr:rowOff>
        </xdr:from>
        <xdr:to>
          <xdr:col>15</xdr:col>
          <xdr:colOff>1590675</xdr:colOff>
          <xdr:row>117</xdr:row>
          <xdr:rowOff>180975</xdr:rowOff>
        </xdr:to>
        <xdr:sp macro="" textlink="">
          <xdr:nvSpPr>
            <xdr:cNvPr id="2116" name="monthListB"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trlProp" Target="../ctrlProps/ctrlProp3.xml"/><Relationship Id="rId45" Type="http://schemas.openxmlformats.org/officeDocument/2006/relationships/ctrlProp" Target="../ctrlProps/ctrlProp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7.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4:T13"/>
  <sheetViews>
    <sheetView workbookViewId="0">
      <selection activeCell="C4" sqref="C4:T10"/>
    </sheetView>
  </sheetViews>
  <sheetFormatPr defaultRowHeight="15" x14ac:dyDescent="0.25"/>
  <sheetData>
    <row r="4" spans="1:20" ht="15" customHeight="1" x14ac:dyDescent="0.25">
      <c r="A4" s="4" t="s">
        <v>309</v>
      </c>
      <c r="C4" s="178" t="s">
        <v>310</v>
      </c>
      <c r="D4" s="178"/>
      <c r="E4" s="178"/>
      <c r="F4" s="178"/>
      <c r="G4" s="178"/>
      <c r="H4" s="178"/>
      <c r="I4" s="178"/>
      <c r="J4" s="178"/>
      <c r="K4" s="178"/>
      <c r="L4" s="178"/>
      <c r="M4" s="178"/>
      <c r="N4" s="178"/>
      <c r="O4" s="178"/>
      <c r="P4" s="178"/>
      <c r="Q4" s="178"/>
      <c r="R4" s="178"/>
      <c r="S4" s="178"/>
      <c r="T4" s="178"/>
    </row>
    <row r="5" spans="1:20" x14ac:dyDescent="0.25">
      <c r="C5" s="178"/>
      <c r="D5" s="178"/>
      <c r="E5" s="178"/>
      <c r="F5" s="178"/>
      <c r="G5" s="178"/>
      <c r="H5" s="178"/>
      <c r="I5" s="178"/>
      <c r="J5" s="178"/>
      <c r="K5" s="178"/>
      <c r="L5" s="178"/>
      <c r="M5" s="178"/>
      <c r="N5" s="178"/>
      <c r="O5" s="178"/>
      <c r="P5" s="178"/>
      <c r="Q5" s="178"/>
      <c r="R5" s="178"/>
      <c r="S5" s="178"/>
      <c r="T5" s="178"/>
    </row>
    <row r="6" spans="1:20" x14ac:dyDescent="0.25">
      <c r="C6" s="178"/>
      <c r="D6" s="178"/>
      <c r="E6" s="178"/>
      <c r="F6" s="178"/>
      <c r="G6" s="178"/>
      <c r="H6" s="178"/>
      <c r="I6" s="178"/>
      <c r="J6" s="178"/>
      <c r="K6" s="178"/>
      <c r="L6" s="178"/>
      <c r="M6" s="178"/>
      <c r="N6" s="178"/>
      <c r="O6" s="178"/>
      <c r="P6" s="178"/>
      <c r="Q6" s="178"/>
      <c r="R6" s="178"/>
      <c r="S6" s="178"/>
      <c r="T6" s="178"/>
    </row>
    <row r="7" spans="1:20" x14ac:dyDescent="0.25">
      <c r="C7" s="178"/>
      <c r="D7" s="178"/>
      <c r="E7" s="178"/>
      <c r="F7" s="178"/>
      <c r="G7" s="178"/>
      <c r="H7" s="178"/>
      <c r="I7" s="178"/>
      <c r="J7" s="178"/>
      <c r="K7" s="178"/>
      <c r="L7" s="178"/>
      <c r="M7" s="178"/>
      <c r="N7" s="178"/>
      <c r="O7" s="178"/>
      <c r="P7" s="178"/>
      <c r="Q7" s="178"/>
      <c r="R7" s="178"/>
      <c r="S7" s="178"/>
      <c r="T7" s="178"/>
    </row>
    <row r="8" spans="1:20" x14ac:dyDescent="0.25">
      <c r="C8" s="178"/>
      <c r="D8" s="178"/>
      <c r="E8" s="178"/>
      <c r="F8" s="178"/>
      <c r="G8" s="178"/>
      <c r="H8" s="178"/>
      <c r="I8" s="178"/>
      <c r="J8" s="178"/>
      <c r="K8" s="178"/>
      <c r="L8" s="178"/>
      <c r="M8" s="178"/>
      <c r="N8" s="178"/>
      <c r="O8" s="178"/>
      <c r="P8" s="178"/>
      <c r="Q8" s="178"/>
      <c r="R8" s="178"/>
      <c r="S8" s="178"/>
      <c r="T8" s="178"/>
    </row>
    <row r="9" spans="1:20" x14ac:dyDescent="0.25">
      <c r="C9" s="178"/>
      <c r="D9" s="178"/>
      <c r="E9" s="178"/>
      <c r="F9" s="178"/>
      <c r="G9" s="178"/>
      <c r="H9" s="178"/>
      <c r="I9" s="178"/>
      <c r="J9" s="178"/>
      <c r="K9" s="178"/>
      <c r="L9" s="178"/>
      <c r="M9" s="178"/>
      <c r="N9" s="178"/>
      <c r="O9" s="178"/>
      <c r="P9" s="178"/>
      <c r="Q9" s="178"/>
      <c r="R9" s="178"/>
      <c r="S9" s="178"/>
      <c r="T9" s="178"/>
    </row>
    <row r="10" spans="1:20" x14ac:dyDescent="0.25">
      <c r="C10" s="178"/>
      <c r="D10" s="178"/>
      <c r="E10" s="178"/>
      <c r="F10" s="178"/>
      <c r="G10" s="178"/>
      <c r="H10" s="178"/>
      <c r="I10" s="178"/>
      <c r="J10" s="178"/>
      <c r="K10" s="178"/>
      <c r="L10" s="178"/>
      <c r="M10" s="178"/>
      <c r="N10" s="178"/>
      <c r="O10" s="178"/>
      <c r="P10" s="178"/>
      <c r="Q10" s="178"/>
      <c r="R10" s="178"/>
      <c r="S10" s="178"/>
      <c r="T10" s="178"/>
    </row>
    <row r="11" spans="1:20" x14ac:dyDescent="0.25">
      <c r="C11" s="83"/>
      <c r="D11" s="83"/>
      <c r="E11" s="83"/>
      <c r="F11" s="83"/>
      <c r="G11" s="83"/>
      <c r="H11" s="83"/>
      <c r="I11" s="83"/>
      <c r="J11" s="83"/>
      <c r="K11" s="83"/>
      <c r="L11" s="83"/>
      <c r="M11" s="83"/>
      <c r="N11" s="83"/>
      <c r="O11" s="83"/>
      <c r="P11" s="83"/>
      <c r="Q11" s="83"/>
      <c r="R11" s="83"/>
      <c r="S11" s="83"/>
      <c r="T11" s="83"/>
    </row>
    <row r="12" spans="1:20" x14ac:dyDescent="0.25">
      <c r="C12" s="83"/>
      <c r="D12" s="83"/>
      <c r="E12" s="83"/>
      <c r="F12" s="83"/>
      <c r="G12" s="83"/>
      <c r="H12" s="83"/>
      <c r="I12" s="83"/>
      <c r="J12" s="83"/>
      <c r="K12" s="83"/>
      <c r="L12" s="83"/>
      <c r="M12" s="83"/>
      <c r="N12" s="83"/>
      <c r="O12" s="83"/>
      <c r="P12" s="83"/>
      <c r="Q12" s="83"/>
      <c r="R12" s="83"/>
      <c r="S12" s="83"/>
      <c r="T12" s="83"/>
    </row>
    <row r="13" spans="1:20" x14ac:dyDescent="0.25">
      <c r="C13" s="83"/>
      <c r="D13" s="83"/>
      <c r="E13" s="83"/>
      <c r="F13" s="83"/>
      <c r="G13" s="83"/>
      <c r="H13" s="83"/>
      <c r="I13" s="83"/>
      <c r="J13" s="83"/>
      <c r="K13" s="83"/>
      <c r="L13" s="83"/>
      <c r="M13" s="83"/>
      <c r="N13" s="83"/>
      <c r="O13" s="83"/>
      <c r="P13" s="83"/>
      <c r="Q13" s="83"/>
      <c r="R13" s="83"/>
      <c r="S13" s="83"/>
      <c r="T13" s="83"/>
    </row>
  </sheetData>
  <mergeCells count="1">
    <mergeCell ref="C4:T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C119"/>
  <sheetViews>
    <sheetView tabSelected="1" zoomScale="80" zoomScaleNormal="80" workbookViewId="0">
      <selection activeCell="O39" sqref="O39"/>
    </sheetView>
  </sheetViews>
  <sheetFormatPr defaultRowHeight="15" x14ac:dyDescent="0.25"/>
  <cols>
    <col min="1" max="1" width="24.7109375" style="44" bestFit="1" customWidth="1"/>
    <col min="2" max="2" width="9.140625" style="5" customWidth="1"/>
    <col min="3" max="8" width="9.140625" style="5"/>
    <col min="9" max="9" width="9.140625" style="5" customWidth="1"/>
    <col min="10" max="12" width="9.140625" style="5"/>
    <col min="13" max="14" width="9.140625" style="5" customWidth="1"/>
    <col min="15" max="15" width="6.28515625" style="5" customWidth="1"/>
    <col min="16" max="16" width="24.7109375" style="44" bestFit="1" customWidth="1"/>
    <col min="17" max="17" width="9.140625" style="5" customWidth="1"/>
    <col min="18" max="23" width="9.140625" style="5"/>
    <col min="24" max="24" width="9.140625" style="5" customWidth="1"/>
    <col min="25" max="16384" width="9.140625" style="5"/>
  </cols>
  <sheetData>
    <row r="1" spans="1:29" ht="21.75" thickBot="1" x14ac:dyDescent="0.4">
      <c r="A1" s="43" t="s">
        <v>52</v>
      </c>
      <c r="B1" s="6"/>
      <c r="C1" s="6"/>
      <c r="D1" s="6"/>
      <c r="E1" s="6"/>
      <c r="F1" s="6"/>
      <c r="G1" s="6"/>
      <c r="H1" s="6"/>
      <c r="I1" s="6"/>
      <c r="J1" s="6"/>
      <c r="K1" s="6"/>
      <c r="L1" s="6"/>
      <c r="M1" s="6"/>
      <c r="N1" s="6"/>
      <c r="P1" s="43" t="s">
        <v>53</v>
      </c>
      <c r="Q1" s="6"/>
      <c r="R1" s="6"/>
      <c r="S1" s="6"/>
      <c r="T1" s="6"/>
      <c r="U1" s="6"/>
      <c r="V1" s="6"/>
      <c r="W1" s="6"/>
      <c r="X1" s="6"/>
      <c r="Y1" s="6"/>
      <c r="Z1" s="6"/>
      <c r="AA1" s="6"/>
      <c r="AB1" s="6"/>
      <c r="AC1" s="6"/>
    </row>
    <row r="2" spans="1:29" ht="15.75" thickTop="1" x14ac:dyDescent="0.25">
      <c r="A2" s="7"/>
      <c r="B2" s="8"/>
      <c r="C2" s="8"/>
      <c r="D2" s="8"/>
      <c r="E2" s="8"/>
      <c r="F2" s="8"/>
      <c r="G2" s="8"/>
      <c r="H2" s="8"/>
      <c r="I2" s="8"/>
      <c r="J2" s="8"/>
      <c r="K2" s="8"/>
      <c r="L2" s="8"/>
      <c r="M2" s="8"/>
      <c r="N2" s="9"/>
      <c r="P2" s="7"/>
      <c r="Q2" s="8"/>
      <c r="R2" s="8"/>
      <c r="S2" s="8"/>
      <c r="T2" s="8"/>
      <c r="U2" s="8"/>
      <c r="V2" s="8"/>
      <c r="W2" s="8"/>
      <c r="X2" s="8"/>
      <c r="Y2" s="8"/>
      <c r="Z2" s="8"/>
      <c r="AA2" s="8"/>
      <c r="AB2" s="8"/>
      <c r="AC2" s="9"/>
    </row>
    <row r="3" spans="1:29" x14ac:dyDescent="0.25">
      <c r="A3" s="107" t="s">
        <v>343</v>
      </c>
      <c r="B3" s="181" t="s">
        <v>397</v>
      </c>
      <c r="C3" s="182"/>
      <c r="D3" s="182"/>
      <c r="E3" s="182"/>
      <c r="F3" s="182"/>
      <c r="G3" s="182"/>
      <c r="H3" s="182"/>
      <c r="I3" s="182"/>
      <c r="J3" s="183"/>
      <c r="K3" s="10"/>
      <c r="L3" s="10"/>
      <c r="M3" s="10"/>
      <c r="N3" s="11"/>
      <c r="P3" s="107" t="s">
        <v>343</v>
      </c>
      <c r="Q3" s="183" t="s">
        <v>397</v>
      </c>
      <c r="R3" s="184"/>
      <c r="S3" s="184"/>
      <c r="T3" s="184"/>
      <c r="U3" s="184"/>
      <c r="V3" s="184"/>
      <c r="W3" s="184"/>
      <c r="X3" s="184"/>
      <c r="Y3" s="184"/>
      <c r="Z3" s="10"/>
      <c r="AA3" s="10"/>
      <c r="AB3" s="10"/>
      <c r="AC3" s="11"/>
    </row>
    <row r="4" spans="1:29" x14ac:dyDescent="0.25">
      <c r="A4" s="23" t="s">
        <v>58</v>
      </c>
      <c r="B4" s="77">
        <v>21</v>
      </c>
      <c r="C4" s="59" t="s">
        <v>307</v>
      </c>
      <c r="D4" s="59"/>
      <c r="E4" s="59"/>
      <c r="F4" s="59"/>
      <c r="G4" s="59"/>
      <c r="H4" s="59"/>
      <c r="I4" s="59"/>
      <c r="J4" s="59"/>
      <c r="K4" s="10"/>
      <c r="L4" s="10"/>
      <c r="M4" s="10"/>
      <c r="N4" s="11"/>
      <c r="P4" s="23" t="s">
        <v>58</v>
      </c>
      <c r="Q4" s="77">
        <v>21</v>
      </c>
      <c r="R4" s="59" t="s">
        <v>307</v>
      </c>
      <c r="S4" s="10"/>
      <c r="T4" s="10"/>
      <c r="U4" s="10"/>
      <c r="V4" s="10"/>
      <c r="W4" s="10"/>
      <c r="X4" s="10"/>
      <c r="Y4" s="10"/>
      <c r="Z4" s="10"/>
      <c r="AA4" s="10"/>
      <c r="AB4" s="10"/>
      <c r="AC4" s="11"/>
    </row>
    <row r="5" spans="1:29" ht="15.75" thickBot="1" x14ac:dyDescent="0.3">
      <c r="A5" s="24" t="s">
        <v>83</v>
      </c>
      <c r="B5" s="55">
        <v>0</v>
      </c>
      <c r="C5" s="56" t="s">
        <v>308</v>
      </c>
      <c r="D5" s="56"/>
      <c r="E5" s="54"/>
      <c r="F5" s="54"/>
      <c r="G5" s="54"/>
      <c r="H5" s="54"/>
      <c r="I5" s="54"/>
      <c r="J5" s="54"/>
      <c r="K5" s="12"/>
      <c r="L5" s="12"/>
      <c r="M5" s="12"/>
      <c r="N5" s="13"/>
      <c r="P5" s="24" t="s">
        <v>83</v>
      </c>
      <c r="Q5" s="55">
        <v>0</v>
      </c>
      <c r="R5" s="56" t="s">
        <v>308</v>
      </c>
      <c r="S5" s="56"/>
      <c r="T5" s="54"/>
      <c r="U5" s="54"/>
      <c r="V5" s="54"/>
      <c r="W5" s="54"/>
      <c r="X5" s="54"/>
      <c r="Y5" s="54"/>
      <c r="Z5" s="12"/>
      <c r="AA5" s="12"/>
      <c r="AB5" s="12"/>
      <c r="AC5" s="13"/>
    </row>
    <row r="6" spans="1:29" ht="15.75" thickTop="1" x14ac:dyDescent="0.25">
      <c r="A6" s="33"/>
      <c r="B6" s="6"/>
      <c r="C6" s="6"/>
      <c r="D6" s="6"/>
      <c r="E6" s="6"/>
      <c r="F6" s="6"/>
      <c r="G6" s="6"/>
      <c r="H6" s="6"/>
      <c r="I6" s="6"/>
      <c r="J6" s="6"/>
      <c r="K6" s="6"/>
      <c r="L6" s="6"/>
      <c r="M6" s="6"/>
      <c r="N6" s="6"/>
      <c r="P6" s="33"/>
      <c r="Q6" s="6"/>
      <c r="R6" s="6"/>
      <c r="S6" s="6"/>
      <c r="T6" s="6"/>
      <c r="U6" s="6"/>
      <c r="V6" s="6"/>
      <c r="W6" s="6"/>
      <c r="X6" s="6"/>
      <c r="Y6" s="6"/>
      <c r="Z6" s="6"/>
      <c r="AA6" s="6"/>
      <c r="AB6" s="6"/>
      <c r="AC6" s="6"/>
    </row>
    <row r="7" spans="1:29" x14ac:dyDescent="0.25">
      <c r="A7" s="105" t="s">
        <v>342</v>
      </c>
      <c r="B7" s="27" t="s">
        <v>59</v>
      </c>
      <c r="C7" s="78"/>
      <c r="D7" s="29"/>
      <c r="E7" s="29"/>
      <c r="F7" s="6"/>
      <c r="G7" s="6"/>
      <c r="H7" s="6"/>
      <c r="I7" s="6"/>
      <c r="J7" s="6"/>
      <c r="K7" s="6"/>
      <c r="L7" s="6"/>
      <c r="M7" s="6"/>
      <c r="N7" s="6"/>
      <c r="P7" s="25" t="s">
        <v>342</v>
      </c>
      <c r="Q7" s="27" t="s">
        <v>59</v>
      </c>
      <c r="R7" s="78"/>
      <c r="S7" s="29"/>
      <c r="T7" s="29"/>
      <c r="U7" s="6"/>
      <c r="V7" s="6"/>
      <c r="W7" s="6"/>
      <c r="X7" s="6"/>
      <c r="Y7" s="6"/>
      <c r="Z7" s="6"/>
      <c r="AA7" s="6"/>
      <c r="AB7" s="6"/>
      <c r="AC7" s="6"/>
    </row>
    <row r="8" spans="1:29" x14ac:dyDescent="0.25">
      <c r="A8" s="26" t="s">
        <v>71</v>
      </c>
      <c r="B8" s="42">
        <v>78</v>
      </c>
      <c r="C8" s="28"/>
      <c r="D8" s="29"/>
      <c r="E8" s="29"/>
      <c r="F8" s="6"/>
      <c r="G8" s="6"/>
      <c r="H8" s="6"/>
      <c r="I8" s="6"/>
      <c r="J8" s="6"/>
      <c r="K8" s="6"/>
      <c r="L8" s="6"/>
      <c r="M8" s="6"/>
      <c r="N8" s="6"/>
      <c r="P8" s="26" t="s">
        <v>71</v>
      </c>
      <c r="Q8" s="42">
        <v>78</v>
      </c>
      <c r="R8" s="28"/>
      <c r="S8" s="29"/>
      <c r="T8" s="29"/>
      <c r="U8" s="6"/>
      <c r="V8" s="6"/>
      <c r="W8" s="6"/>
      <c r="X8" s="6"/>
      <c r="Y8" s="6"/>
      <c r="Z8" s="6"/>
      <c r="AA8" s="6"/>
      <c r="AB8" s="6"/>
      <c r="AC8" s="6"/>
    </row>
    <row r="9" spans="1:29" x14ac:dyDescent="0.25">
      <c r="A9" s="33"/>
      <c r="B9" s="6"/>
      <c r="C9" s="6"/>
      <c r="D9" s="6"/>
      <c r="E9" s="6"/>
      <c r="F9" s="6"/>
      <c r="G9" s="6"/>
      <c r="H9" s="6"/>
      <c r="I9" s="6"/>
      <c r="J9" s="6"/>
      <c r="K9" s="6"/>
      <c r="L9" s="6"/>
      <c r="M9" s="6"/>
      <c r="N9" s="6"/>
      <c r="P9" s="33"/>
      <c r="Q9" s="6"/>
      <c r="R9" s="6"/>
      <c r="S9" s="6"/>
      <c r="T9" s="6"/>
      <c r="U9" s="6"/>
      <c r="V9" s="6"/>
      <c r="W9" s="6"/>
      <c r="X9" s="6"/>
      <c r="Y9" s="6"/>
      <c r="Z9" s="6"/>
      <c r="AA9" s="6"/>
      <c r="AB9" s="6"/>
      <c r="AC9" s="6"/>
    </row>
    <row r="10" spans="1:29" x14ac:dyDescent="0.25">
      <c r="A10" s="143"/>
      <c r="B10" s="144"/>
      <c r="C10" s="144"/>
      <c r="D10" s="144"/>
      <c r="E10" s="144"/>
      <c r="F10" s="144"/>
      <c r="G10" s="144"/>
      <c r="H10" s="144"/>
      <c r="I10" s="144"/>
      <c r="J10" s="144"/>
      <c r="K10" s="144"/>
      <c r="L10" s="144"/>
      <c r="M10" s="144"/>
      <c r="N10" s="145"/>
      <c r="P10" s="116"/>
      <c r="Q10" s="117"/>
      <c r="R10" s="117"/>
      <c r="S10" s="117"/>
      <c r="T10" s="117"/>
      <c r="U10" s="117"/>
      <c r="V10" s="117"/>
      <c r="W10" s="117"/>
      <c r="X10" s="117"/>
      <c r="Y10" s="117"/>
      <c r="Z10" s="117"/>
      <c r="AA10" s="117"/>
      <c r="AB10" s="117"/>
      <c r="AC10" s="118"/>
    </row>
    <row r="11" spans="1:29" x14ac:dyDescent="0.25">
      <c r="A11" s="146" t="s">
        <v>335</v>
      </c>
      <c r="B11" s="180" t="s">
        <v>61</v>
      </c>
      <c r="C11" s="180"/>
      <c r="D11" s="89" t="s">
        <v>63</v>
      </c>
      <c r="E11" s="19" t="s">
        <v>62</v>
      </c>
      <c r="F11" s="10"/>
      <c r="G11" s="35"/>
      <c r="H11" s="35"/>
      <c r="I11" s="105" t="s">
        <v>336</v>
      </c>
      <c r="J11" s="19"/>
      <c r="K11" s="20"/>
      <c r="L11" s="20"/>
      <c r="M11" s="20"/>
      <c r="N11" s="147"/>
      <c r="P11" s="119" t="s">
        <v>335</v>
      </c>
      <c r="Q11" s="185" t="s">
        <v>61</v>
      </c>
      <c r="R11" s="185"/>
      <c r="S11" s="120" t="s">
        <v>63</v>
      </c>
      <c r="T11" s="40" t="s">
        <v>62</v>
      </c>
      <c r="U11" s="10"/>
      <c r="V11" s="16"/>
      <c r="W11" s="16"/>
      <c r="X11" s="106" t="s">
        <v>336</v>
      </c>
      <c r="Y11" s="40"/>
      <c r="Z11" s="41"/>
      <c r="AA11" s="41"/>
      <c r="AB11" s="41"/>
      <c r="AC11" s="121"/>
    </row>
    <row r="12" spans="1:29" x14ac:dyDescent="0.25">
      <c r="A12" s="148"/>
      <c r="B12" s="17" t="s">
        <v>69</v>
      </c>
      <c r="C12" s="17" t="s">
        <v>70</v>
      </c>
      <c r="D12" s="17"/>
      <c r="E12" s="36"/>
      <c r="F12" s="10"/>
      <c r="G12" s="35"/>
      <c r="H12" s="35"/>
      <c r="I12" s="25"/>
      <c r="J12" s="89" t="s">
        <v>64</v>
      </c>
      <c r="K12" s="89" t="s">
        <v>65</v>
      </c>
      <c r="L12" s="89" t="s">
        <v>66</v>
      </c>
      <c r="M12" s="19" t="s">
        <v>67</v>
      </c>
      <c r="N12" s="147"/>
      <c r="P12" s="122"/>
      <c r="Q12" s="123" t="s">
        <v>69</v>
      </c>
      <c r="R12" s="123" t="s">
        <v>70</v>
      </c>
      <c r="S12" s="123"/>
      <c r="T12" s="78"/>
      <c r="U12" s="10"/>
      <c r="V12" s="16"/>
      <c r="W12" s="16"/>
      <c r="X12" s="124"/>
      <c r="Y12" s="120" t="s">
        <v>64</v>
      </c>
      <c r="Z12" s="120" t="s">
        <v>65</v>
      </c>
      <c r="AA12" s="120" t="s">
        <v>66</v>
      </c>
      <c r="AB12" s="40" t="s">
        <v>67</v>
      </c>
      <c r="AC12" s="121"/>
    </row>
    <row r="13" spans="1:29" x14ac:dyDescent="0.25">
      <c r="A13" s="149" t="s">
        <v>46</v>
      </c>
      <c r="B13" s="18">
        <v>400</v>
      </c>
      <c r="C13" s="18">
        <v>0</v>
      </c>
      <c r="D13" s="18">
        <v>2500</v>
      </c>
      <c r="E13" s="18">
        <v>2500</v>
      </c>
      <c r="F13" s="10"/>
      <c r="G13" s="35"/>
      <c r="H13" s="35"/>
      <c r="I13" s="30" t="s">
        <v>46</v>
      </c>
      <c r="J13" s="1">
        <v>255</v>
      </c>
      <c r="K13" s="1">
        <v>0</v>
      </c>
      <c r="L13" s="1">
        <v>15</v>
      </c>
      <c r="M13" s="1">
        <v>0</v>
      </c>
      <c r="N13" s="147"/>
      <c r="P13" s="125" t="s">
        <v>46</v>
      </c>
      <c r="Q13" s="126">
        <v>400</v>
      </c>
      <c r="R13" s="126">
        <v>0</v>
      </c>
      <c r="S13" s="126">
        <v>2500</v>
      </c>
      <c r="T13" s="126">
        <v>2500</v>
      </c>
      <c r="U13" s="10"/>
      <c r="V13" s="16"/>
      <c r="W13" s="16"/>
      <c r="X13" s="34" t="s">
        <v>46</v>
      </c>
      <c r="Y13" s="1">
        <v>252</v>
      </c>
      <c r="Z13" s="1">
        <v>0</v>
      </c>
      <c r="AA13" s="1">
        <v>252</v>
      </c>
      <c r="AB13" s="1">
        <v>0</v>
      </c>
      <c r="AC13" s="121"/>
    </row>
    <row r="14" spans="1:29" x14ac:dyDescent="0.25">
      <c r="A14" s="150" t="s">
        <v>47</v>
      </c>
      <c r="B14" s="21">
        <v>0.1</v>
      </c>
      <c r="C14" s="21">
        <v>0.1</v>
      </c>
      <c r="D14" s="21">
        <v>0</v>
      </c>
      <c r="E14" s="21">
        <v>0</v>
      </c>
      <c r="F14" s="10"/>
      <c r="G14" s="35"/>
      <c r="H14" s="35"/>
      <c r="I14" s="35" t="s">
        <v>47</v>
      </c>
      <c r="J14" s="1">
        <v>0.65</v>
      </c>
      <c r="K14" s="1">
        <v>0.65</v>
      </c>
      <c r="L14" s="1">
        <v>0.65</v>
      </c>
      <c r="M14" s="1">
        <v>0.65</v>
      </c>
      <c r="N14" s="147"/>
      <c r="P14" s="125" t="s">
        <v>47</v>
      </c>
      <c r="Q14" s="126">
        <v>0.1</v>
      </c>
      <c r="R14" s="126">
        <v>0.1</v>
      </c>
      <c r="S14" s="126">
        <v>0</v>
      </c>
      <c r="T14" s="126">
        <v>0</v>
      </c>
      <c r="U14" s="10"/>
      <c r="V14" s="16"/>
      <c r="W14" s="16"/>
      <c r="X14" s="16" t="s">
        <v>47</v>
      </c>
      <c r="Y14" s="1">
        <v>0.65</v>
      </c>
      <c r="Z14" s="1">
        <v>0.65</v>
      </c>
      <c r="AA14" s="1">
        <v>0.65</v>
      </c>
      <c r="AB14" s="1">
        <v>0.65</v>
      </c>
      <c r="AC14" s="121"/>
    </row>
    <row r="15" spans="1:29" x14ac:dyDescent="0.25">
      <c r="A15" s="151"/>
      <c r="B15" s="10"/>
      <c r="C15" s="10"/>
      <c r="D15" s="10"/>
      <c r="E15" s="10"/>
      <c r="F15" s="10"/>
      <c r="G15" s="10"/>
      <c r="H15" s="10"/>
      <c r="I15" s="10"/>
      <c r="J15" s="10"/>
      <c r="K15" s="10"/>
      <c r="L15" s="10"/>
      <c r="M15" s="10"/>
      <c r="N15" s="147"/>
      <c r="P15" s="127"/>
      <c r="Q15" s="10"/>
      <c r="R15" s="10"/>
      <c r="S15" s="10"/>
      <c r="T15" s="10"/>
      <c r="U15" s="10"/>
      <c r="V15" s="10"/>
      <c r="W15" s="10"/>
      <c r="X15" s="10"/>
      <c r="Y15" s="10"/>
      <c r="Z15" s="10"/>
      <c r="AA15" s="10"/>
      <c r="AB15" s="10"/>
      <c r="AC15" s="121"/>
    </row>
    <row r="16" spans="1:29" x14ac:dyDescent="0.25">
      <c r="A16" s="152" t="s">
        <v>50</v>
      </c>
      <c r="B16" s="91">
        <f>B14*B13</f>
        <v>40</v>
      </c>
      <c r="C16" s="91">
        <f>C14*C13</f>
        <v>0</v>
      </c>
      <c r="D16" s="91">
        <f>D14*D13</f>
        <v>0</v>
      </c>
      <c r="E16" s="92">
        <f>E14*E13</f>
        <v>0</v>
      </c>
      <c r="F16" s="115"/>
      <c r="G16" s="93"/>
      <c r="H16" s="93"/>
      <c r="I16" s="90" t="s">
        <v>50</v>
      </c>
      <c r="J16" s="91">
        <f>J14*J13</f>
        <v>165.75</v>
      </c>
      <c r="K16" s="91">
        <f>K14*K13</f>
        <v>0</v>
      </c>
      <c r="L16" s="91">
        <f>L14*L13</f>
        <v>9.75</v>
      </c>
      <c r="M16" s="92">
        <f>M14*M13</f>
        <v>0</v>
      </c>
      <c r="N16" s="147"/>
      <c r="P16" s="128" t="s">
        <v>50</v>
      </c>
      <c r="Q16" s="129">
        <f>Q14*Q13</f>
        <v>40</v>
      </c>
      <c r="R16" s="129">
        <f>R14*R13</f>
        <v>0</v>
      </c>
      <c r="S16" s="129">
        <f>S14*S13</f>
        <v>0</v>
      </c>
      <c r="T16" s="130">
        <f>T14*T13</f>
        <v>0</v>
      </c>
      <c r="U16" s="114"/>
      <c r="V16" s="109"/>
      <c r="W16" s="109"/>
      <c r="X16" s="131" t="s">
        <v>50</v>
      </c>
      <c r="Y16" s="129">
        <f>Y14*Y13</f>
        <v>163.80000000000001</v>
      </c>
      <c r="Z16" s="129">
        <f>Z14*Z13</f>
        <v>0</v>
      </c>
      <c r="AA16" s="129">
        <f>AA14*AA13</f>
        <v>163.80000000000001</v>
      </c>
      <c r="AB16" s="130">
        <f>AB14*AB13</f>
        <v>0</v>
      </c>
      <c r="AC16" s="121"/>
    </row>
    <row r="17" spans="1:29" x14ac:dyDescent="0.25">
      <c r="A17" s="153" t="s">
        <v>73</v>
      </c>
      <c r="B17" s="94">
        <f>SUM(B16:E16)</f>
        <v>40</v>
      </c>
      <c r="C17" s="95" t="s">
        <v>51</v>
      </c>
      <c r="D17" s="115"/>
      <c r="E17" s="115"/>
      <c r="F17" s="115"/>
      <c r="G17" s="115"/>
      <c r="H17" s="115"/>
      <c r="I17" s="96" t="s">
        <v>74</v>
      </c>
      <c r="J17" s="94">
        <f>SUM(J16:M16)</f>
        <v>175.5</v>
      </c>
      <c r="K17" s="97" t="s">
        <v>51</v>
      </c>
      <c r="L17" s="115"/>
      <c r="M17" s="115"/>
      <c r="N17" s="147"/>
      <c r="P17" s="132" t="s">
        <v>73</v>
      </c>
      <c r="Q17" s="130">
        <f>SUM(Q16:T16)</f>
        <v>40</v>
      </c>
      <c r="R17" s="110" t="s">
        <v>51</v>
      </c>
      <c r="S17" s="114"/>
      <c r="T17" s="114"/>
      <c r="U17" s="114"/>
      <c r="V17" s="114"/>
      <c r="W17" s="114"/>
      <c r="X17" s="109" t="s">
        <v>74</v>
      </c>
      <c r="Y17" s="130">
        <f>SUM(Y16:AB16)</f>
        <v>327.60000000000002</v>
      </c>
      <c r="Z17" s="110" t="s">
        <v>51</v>
      </c>
      <c r="AA17" s="114"/>
      <c r="AB17" s="114"/>
      <c r="AC17" s="121"/>
    </row>
    <row r="18" spans="1:29" x14ac:dyDescent="0.25">
      <c r="A18" s="154"/>
      <c r="B18" s="10"/>
      <c r="C18" s="10"/>
      <c r="D18" s="10"/>
      <c r="E18" s="10"/>
      <c r="F18" s="10"/>
      <c r="G18" s="10"/>
      <c r="H18" s="10"/>
      <c r="I18" s="10"/>
      <c r="J18" s="10"/>
      <c r="K18" s="10"/>
      <c r="L18" s="10"/>
      <c r="M18" s="10"/>
      <c r="N18" s="147"/>
      <c r="P18" s="133"/>
      <c r="Q18" s="10"/>
      <c r="R18" s="10"/>
      <c r="S18" s="10"/>
      <c r="T18" s="10"/>
      <c r="U18" s="10"/>
      <c r="V18" s="10"/>
      <c r="W18" s="10"/>
      <c r="X18" s="10"/>
      <c r="Y18" s="10"/>
      <c r="Z18" s="10"/>
      <c r="AA18" s="10"/>
      <c r="AB18" s="10"/>
      <c r="AC18" s="121"/>
    </row>
    <row r="19" spans="1:29" x14ac:dyDescent="0.25">
      <c r="A19" s="171" t="s">
        <v>72</v>
      </c>
      <c r="B19" s="108">
        <f>B17+J17</f>
        <v>215.5</v>
      </c>
      <c r="C19" s="108" t="s">
        <v>51</v>
      </c>
      <c r="D19" s="108"/>
      <c r="E19" s="108"/>
      <c r="F19" s="37"/>
      <c r="G19" s="37"/>
      <c r="H19" s="37"/>
      <c r="I19" s="37"/>
      <c r="J19" s="37"/>
      <c r="K19" s="37"/>
      <c r="L19" s="37"/>
      <c r="M19" s="37"/>
      <c r="N19" s="147"/>
      <c r="P19" s="128" t="s">
        <v>72</v>
      </c>
      <c r="Q19" s="114">
        <f>Q17+Y17</f>
        <v>367.6</v>
      </c>
      <c r="R19" s="114" t="s">
        <v>51</v>
      </c>
      <c r="S19" s="114"/>
      <c r="T19" s="114"/>
      <c r="U19" s="10"/>
      <c r="V19" s="10"/>
      <c r="W19" s="10"/>
      <c r="X19" s="10"/>
      <c r="Y19" s="10"/>
      <c r="Z19" s="10"/>
      <c r="AA19" s="10"/>
      <c r="AB19" s="10"/>
      <c r="AC19" s="121"/>
    </row>
    <row r="20" spans="1:29" x14ac:dyDescent="0.25">
      <c r="A20" s="154"/>
      <c r="B20" s="10"/>
      <c r="C20" s="10"/>
      <c r="D20" s="10"/>
      <c r="E20" s="10"/>
      <c r="F20" s="10"/>
      <c r="G20" s="10"/>
      <c r="H20" s="10"/>
      <c r="I20" s="10"/>
      <c r="J20" s="10"/>
      <c r="K20" s="10"/>
      <c r="L20" s="10"/>
      <c r="M20" s="10"/>
      <c r="N20" s="147"/>
      <c r="P20" s="133"/>
      <c r="Q20" s="10"/>
      <c r="R20" s="10"/>
      <c r="S20" s="10"/>
      <c r="T20" s="10"/>
      <c r="U20" s="10"/>
      <c r="V20" s="10"/>
      <c r="W20" s="10"/>
      <c r="X20" s="10"/>
      <c r="Y20" s="10"/>
      <c r="Z20" s="10"/>
      <c r="AA20" s="10"/>
      <c r="AB20" s="10"/>
      <c r="AC20" s="121"/>
    </row>
    <row r="21" spans="1:29" x14ac:dyDescent="0.25">
      <c r="A21" s="154"/>
      <c r="B21" s="10"/>
      <c r="C21" s="10"/>
      <c r="D21" s="10"/>
      <c r="E21" s="10"/>
      <c r="F21" s="10"/>
      <c r="G21" s="10"/>
      <c r="H21" s="10"/>
      <c r="I21" s="10"/>
      <c r="J21" s="10"/>
      <c r="K21" s="10"/>
      <c r="L21" s="10"/>
      <c r="M21" s="10"/>
      <c r="N21" s="147"/>
      <c r="P21" s="133"/>
      <c r="Q21" s="10"/>
      <c r="R21" s="10"/>
      <c r="S21" s="10"/>
      <c r="T21" s="10"/>
      <c r="U21" s="10"/>
      <c r="V21" s="10"/>
      <c r="W21" s="10"/>
      <c r="X21" s="10"/>
      <c r="Y21" s="10"/>
      <c r="Z21" s="10"/>
      <c r="AA21" s="10"/>
      <c r="AB21" s="10"/>
      <c r="AC21" s="121"/>
    </row>
    <row r="22" spans="1:29" x14ac:dyDescent="0.25">
      <c r="A22" s="155" t="s">
        <v>337</v>
      </c>
      <c r="B22" s="40"/>
      <c r="C22" s="41"/>
      <c r="D22" s="10"/>
      <c r="E22" s="10"/>
      <c r="F22" s="10"/>
      <c r="G22" s="10"/>
      <c r="H22" s="10"/>
      <c r="I22" s="10"/>
      <c r="J22" s="10"/>
      <c r="K22" s="10"/>
      <c r="L22" s="10"/>
      <c r="M22" s="10"/>
      <c r="N22" s="147"/>
      <c r="P22" s="119" t="s">
        <v>337</v>
      </c>
      <c r="Q22" s="40"/>
      <c r="R22" s="41"/>
      <c r="S22" s="10"/>
      <c r="T22" s="10"/>
      <c r="U22" s="10"/>
      <c r="V22" s="10"/>
      <c r="W22" s="10"/>
      <c r="X22" s="10"/>
      <c r="Y22" s="10"/>
      <c r="Z22" s="10"/>
      <c r="AA22" s="10"/>
      <c r="AB22" s="10"/>
      <c r="AC22" s="121"/>
    </row>
    <row r="23" spans="1:29" x14ac:dyDescent="0.25">
      <c r="A23" s="156" t="s">
        <v>37</v>
      </c>
      <c r="B23" s="57">
        <v>25344</v>
      </c>
      <c r="C23" s="49" t="s">
        <v>77</v>
      </c>
      <c r="D23" s="37"/>
      <c r="E23" s="37"/>
      <c r="F23" s="10"/>
      <c r="G23" s="10"/>
      <c r="H23" s="10"/>
      <c r="I23" s="10"/>
      <c r="J23" s="10"/>
      <c r="K23" s="10"/>
      <c r="L23" s="10"/>
      <c r="M23" s="10"/>
      <c r="N23" s="186" t="s">
        <v>334</v>
      </c>
      <c r="P23" s="122" t="s">
        <v>37</v>
      </c>
      <c r="Q23" s="134">
        <v>25344</v>
      </c>
      <c r="R23" s="135" t="s">
        <v>77</v>
      </c>
      <c r="S23" s="10"/>
      <c r="T23" s="10"/>
      <c r="U23" s="10"/>
      <c r="V23" s="10"/>
      <c r="W23" s="10"/>
      <c r="X23" s="10"/>
      <c r="Y23" s="10"/>
      <c r="Z23" s="10"/>
      <c r="AA23" s="10"/>
      <c r="AB23" s="10"/>
      <c r="AC23" s="121"/>
    </row>
    <row r="24" spans="1:29" x14ac:dyDescent="0.25">
      <c r="A24" s="156" t="s">
        <v>78</v>
      </c>
      <c r="B24" s="22">
        <v>4</v>
      </c>
      <c r="C24" s="49" t="s">
        <v>40</v>
      </c>
      <c r="D24" s="37"/>
      <c r="E24" s="37"/>
      <c r="F24" s="10"/>
      <c r="G24" s="10"/>
      <c r="H24" s="10"/>
      <c r="I24" s="10"/>
      <c r="J24" s="10"/>
      <c r="K24" s="10"/>
      <c r="L24" s="10"/>
      <c r="M24" s="10"/>
      <c r="N24" s="187"/>
      <c r="P24" s="122" t="s">
        <v>78</v>
      </c>
      <c r="Q24" s="134">
        <v>4</v>
      </c>
      <c r="R24" s="135" t="s">
        <v>40</v>
      </c>
      <c r="S24" s="10"/>
      <c r="T24" s="10"/>
      <c r="U24" s="10"/>
      <c r="V24" s="10"/>
      <c r="W24" s="10"/>
      <c r="X24" s="10"/>
      <c r="Y24" s="10"/>
      <c r="Z24" s="10"/>
      <c r="AA24" s="10"/>
      <c r="AB24" s="10"/>
      <c r="AC24" s="191" t="s">
        <v>334</v>
      </c>
    </row>
    <row r="25" spans="1:29" x14ac:dyDescent="0.25">
      <c r="A25" s="151"/>
      <c r="B25" s="10"/>
      <c r="C25" s="10"/>
      <c r="D25" s="10"/>
      <c r="E25" s="10"/>
      <c r="F25" s="10"/>
      <c r="G25" s="10"/>
      <c r="H25" s="10"/>
      <c r="I25" s="10"/>
      <c r="J25" s="10"/>
      <c r="K25" s="10"/>
      <c r="L25" s="10"/>
      <c r="M25" s="10"/>
      <c r="N25" s="187"/>
      <c r="P25" s="127"/>
      <c r="Q25" s="10"/>
      <c r="R25" s="10"/>
      <c r="S25" s="10"/>
      <c r="T25" s="10"/>
      <c r="U25" s="10"/>
      <c r="V25" s="10"/>
      <c r="W25" s="10"/>
      <c r="X25" s="10"/>
      <c r="Y25" s="10"/>
      <c r="Z25" s="10"/>
      <c r="AA25" s="10"/>
      <c r="AB25" s="10"/>
      <c r="AC25" s="192"/>
    </row>
    <row r="26" spans="1:29" x14ac:dyDescent="0.25">
      <c r="A26" s="157" t="s">
        <v>75</v>
      </c>
      <c r="B26" s="98">
        <f>B24*B23*1.08/60</f>
        <v>1824.768</v>
      </c>
      <c r="C26" s="99" t="s">
        <v>51</v>
      </c>
      <c r="D26" s="100"/>
      <c r="E26" s="100"/>
      <c r="F26" s="10"/>
      <c r="G26" s="10"/>
      <c r="H26" s="10"/>
      <c r="I26" s="10"/>
      <c r="J26" s="10"/>
      <c r="K26" s="10"/>
      <c r="L26" s="10"/>
      <c r="M26" s="10"/>
      <c r="N26" s="187"/>
      <c r="P26" s="136" t="s">
        <v>75</v>
      </c>
      <c r="Q26" s="137">
        <f>Q24*Q23*1.08/60</f>
        <v>1824.768</v>
      </c>
      <c r="R26" s="95" t="s">
        <v>51</v>
      </c>
      <c r="S26" s="115"/>
      <c r="T26" s="115"/>
      <c r="U26" s="10"/>
      <c r="V26" s="10"/>
      <c r="W26" s="10"/>
      <c r="X26" s="10"/>
      <c r="Y26" s="10"/>
      <c r="Z26" s="10"/>
      <c r="AA26" s="10"/>
      <c r="AB26" s="10"/>
      <c r="AC26" s="192"/>
    </row>
    <row r="27" spans="1:29" x14ac:dyDescent="0.25">
      <c r="A27" s="153"/>
      <c r="B27" s="101"/>
      <c r="C27" s="95"/>
      <c r="D27" s="115"/>
      <c r="E27" s="115"/>
      <c r="F27" s="10"/>
      <c r="G27" s="10"/>
      <c r="H27" s="10"/>
      <c r="I27" s="10"/>
      <c r="J27" s="10"/>
      <c r="K27" s="10"/>
      <c r="L27" s="10"/>
      <c r="M27" s="10"/>
      <c r="N27" s="187"/>
      <c r="P27" s="136"/>
      <c r="Q27" s="101"/>
      <c r="R27" s="95"/>
      <c r="S27" s="115"/>
      <c r="T27" s="115"/>
      <c r="U27" s="10"/>
      <c r="V27" s="10"/>
      <c r="W27" s="10"/>
      <c r="X27" s="10"/>
      <c r="Y27" s="10"/>
      <c r="Z27" s="10"/>
      <c r="AA27" s="10"/>
      <c r="AB27" s="10"/>
      <c r="AC27" s="192"/>
    </row>
    <row r="28" spans="1:29" x14ac:dyDescent="0.25">
      <c r="A28" s="153"/>
      <c r="B28" s="101"/>
      <c r="C28" s="95"/>
      <c r="D28" s="115"/>
      <c r="E28" s="115"/>
      <c r="F28" s="10"/>
      <c r="G28" s="10"/>
      <c r="H28" s="10"/>
      <c r="I28" s="10"/>
      <c r="J28" s="10"/>
      <c r="K28" s="10"/>
      <c r="L28" s="10"/>
      <c r="M28" s="10"/>
      <c r="N28" s="187"/>
      <c r="P28" s="136"/>
      <c r="Q28" s="101"/>
      <c r="R28" s="95"/>
      <c r="S28" s="115"/>
      <c r="T28" s="115"/>
      <c r="U28" s="10"/>
      <c r="V28" s="10"/>
      <c r="W28" s="10"/>
      <c r="X28" s="10"/>
      <c r="Y28" s="10"/>
      <c r="Z28" s="10"/>
      <c r="AA28" s="10"/>
      <c r="AB28" s="10"/>
      <c r="AC28" s="192"/>
    </row>
    <row r="29" spans="1:29" ht="18.75" customHeight="1" x14ac:dyDescent="0.25">
      <c r="A29" s="158" t="s">
        <v>76</v>
      </c>
      <c r="B29" s="159">
        <f>B26+B19</f>
        <v>2040.268</v>
      </c>
      <c r="C29" s="160" t="s">
        <v>51</v>
      </c>
      <c r="D29" s="161"/>
      <c r="E29" s="161"/>
      <c r="F29" s="162"/>
      <c r="G29" s="162"/>
      <c r="H29" s="162"/>
      <c r="I29" s="162"/>
      <c r="J29" s="162"/>
      <c r="K29" s="162"/>
      <c r="L29" s="162"/>
      <c r="M29" s="162"/>
      <c r="N29" s="188"/>
      <c r="P29" s="138" t="s">
        <v>76</v>
      </c>
      <c r="Q29" s="139">
        <f>Q26+Q19</f>
        <v>2192.3679999999999</v>
      </c>
      <c r="R29" s="140" t="s">
        <v>51</v>
      </c>
      <c r="S29" s="141"/>
      <c r="T29" s="141"/>
      <c r="U29" s="142"/>
      <c r="V29" s="142"/>
      <c r="W29" s="142"/>
      <c r="X29" s="142"/>
      <c r="Y29" s="142"/>
      <c r="Z29" s="142"/>
      <c r="AA29" s="142"/>
      <c r="AB29" s="142"/>
      <c r="AC29" s="193"/>
    </row>
    <row r="30" spans="1:29" x14ac:dyDescent="0.25">
      <c r="A30" s="16"/>
      <c r="B30" s="14"/>
      <c r="C30" s="15"/>
      <c r="D30" s="6"/>
      <c r="E30" s="6"/>
      <c r="F30" s="6"/>
      <c r="G30" s="6"/>
      <c r="H30" s="6"/>
      <c r="I30" s="10"/>
      <c r="J30" s="10"/>
      <c r="K30" s="10"/>
      <c r="L30" s="10"/>
      <c r="M30" s="10"/>
      <c r="N30" s="6"/>
      <c r="P30" s="16"/>
      <c r="Q30" s="14"/>
      <c r="R30" s="15"/>
      <c r="S30" s="6"/>
      <c r="T30" s="6"/>
      <c r="U30" s="6"/>
      <c r="V30" s="6"/>
      <c r="W30" s="6"/>
      <c r="X30" s="10"/>
      <c r="Y30" s="10"/>
      <c r="Z30" s="10"/>
      <c r="AA30" s="10"/>
      <c r="AB30" s="10"/>
      <c r="AC30" s="6"/>
    </row>
    <row r="31" spans="1:29" x14ac:dyDescent="0.25">
      <c r="A31" s="163"/>
      <c r="B31" s="164"/>
      <c r="C31" s="165"/>
      <c r="D31" s="144"/>
      <c r="E31" s="144"/>
      <c r="F31" s="144"/>
      <c r="G31" s="144"/>
      <c r="H31" s="144"/>
      <c r="I31" s="144"/>
      <c r="J31" s="144"/>
      <c r="K31" s="144"/>
      <c r="L31" s="144"/>
      <c r="M31" s="144"/>
      <c r="N31" s="145"/>
      <c r="P31" s="163"/>
      <c r="Q31" s="164"/>
      <c r="R31" s="165"/>
      <c r="S31" s="144"/>
      <c r="T31" s="144"/>
      <c r="U31" s="144"/>
      <c r="V31" s="144"/>
      <c r="W31" s="144"/>
      <c r="X31" s="144"/>
      <c r="Y31" s="144"/>
      <c r="Z31" s="144"/>
      <c r="AA31" s="144"/>
      <c r="AB31" s="144"/>
      <c r="AC31" s="145"/>
    </row>
    <row r="32" spans="1:29" x14ac:dyDescent="0.25">
      <c r="A32" s="146" t="s">
        <v>338</v>
      </c>
      <c r="B32" s="39"/>
      <c r="C32" s="32"/>
      <c r="D32" s="32"/>
      <c r="E32" s="32"/>
      <c r="F32" s="10"/>
      <c r="G32" s="35"/>
      <c r="H32" s="35"/>
      <c r="I32" s="105" t="s">
        <v>339</v>
      </c>
      <c r="J32" s="89" t="s">
        <v>64</v>
      </c>
      <c r="K32" s="89" t="s">
        <v>65</v>
      </c>
      <c r="L32" s="89" t="s">
        <v>66</v>
      </c>
      <c r="M32" s="19" t="s">
        <v>67</v>
      </c>
      <c r="N32" s="147"/>
      <c r="P32" s="146" t="s">
        <v>338</v>
      </c>
      <c r="Q32" s="39"/>
      <c r="R32" s="32"/>
      <c r="S32" s="32"/>
      <c r="T32" s="32"/>
      <c r="U32" s="10"/>
      <c r="V32" s="35"/>
      <c r="W32" s="35"/>
      <c r="X32" s="105" t="s">
        <v>339</v>
      </c>
      <c r="Y32" s="89" t="s">
        <v>64</v>
      </c>
      <c r="Z32" s="89" t="s">
        <v>65</v>
      </c>
      <c r="AA32" s="89" t="s">
        <v>66</v>
      </c>
      <c r="AB32" s="19" t="s">
        <v>67</v>
      </c>
      <c r="AC32" s="147"/>
    </row>
    <row r="33" spans="1:29" x14ac:dyDescent="0.25">
      <c r="A33" s="149" t="s">
        <v>38</v>
      </c>
      <c r="B33" s="46">
        <v>70</v>
      </c>
      <c r="C33" s="45" t="s">
        <v>39</v>
      </c>
      <c r="D33" s="48"/>
      <c r="E33" s="48"/>
      <c r="F33" s="10"/>
      <c r="G33" s="35"/>
      <c r="H33" s="35"/>
      <c r="I33" s="30" t="s">
        <v>48</v>
      </c>
      <c r="J33" s="31">
        <f>IF(($B$5+0)&gt;=0, 0 + $B$5, IF($B$5+0&lt;0, 360 + $B$5+0, 0))</f>
        <v>0</v>
      </c>
      <c r="K33" s="31">
        <f>IF(($B$5+90)&gt;=0, 90 + $B$5, IF($B$5+90&lt;0, 360 + $B$5+90, 0))</f>
        <v>90</v>
      </c>
      <c r="L33" s="31">
        <f>IF(($B$5+180)&gt;=0, 180 + $B$5, IF($B$5+180&lt;0, 360 + $B$5+180, 0))</f>
        <v>180</v>
      </c>
      <c r="M33" s="31">
        <f>IF(($B$5+270)&gt;=0, 270 + $B$5, IF($B$5+270&lt;0, 360 + $B$5+270, 0))</f>
        <v>270</v>
      </c>
      <c r="N33" s="147"/>
      <c r="P33" s="149" t="s">
        <v>38</v>
      </c>
      <c r="Q33" s="46">
        <v>70</v>
      </c>
      <c r="R33" s="45" t="s">
        <v>39</v>
      </c>
      <c r="S33" s="48"/>
      <c r="T33" s="48"/>
      <c r="U33" s="10"/>
      <c r="V33" s="35"/>
      <c r="W33" s="35"/>
      <c r="X33" s="30" t="s">
        <v>48</v>
      </c>
      <c r="Y33" s="31">
        <f>IF(($Q$5+0)&gt;=0, 0 + $Q$5, IF($Q$5+0&lt;0, 360 + $Q$5+0, 0))</f>
        <v>0</v>
      </c>
      <c r="Z33" s="31">
        <f>IF(($Q$5+90)&gt;=0, 90 + $Q$5, IF($Q$5+90&lt;0, 360 + $Q$5+90, 0))</f>
        <v>90</v>
      </c>
      <c r="AA33" s="31">
        <f>IF(($Q$5+180)&gt;=0, 180 + $Q$5, IF($Q$5+180&lt;0, 360 + $Q$5+180, 0))</f>
        <v>180</v>
      </c>
      <c r="AB33" s="31">
        <f>IF(($Q$5+270)&gt;=0, 270 + $Q$5, IF($Q$5+270&lt;0, 360 + $Q$5+270, 0))</f>
        <v>270</v>
      </c>
      <c r="AC33" s="147"/>
    </row>
    <row r="34" spans="1:29" x14ac:dyDescent="0.25">
      <c r="A34" s="149" t="s">
        <v>41</v>
      </c>
      <c r="B34" s="46">
        <v>190</v>
      </c>
      <c r="C34" s="45" t="s">
        <v>42</v>
      </c>
      <c r="D34" s="48"/>
      <c r="E34" s="48"/>
      <c r="F34" s="10"/>
      <c r="G34" s="35"/>
      <c r="H34" s="35"/>
      <c r="I34" s="30" t="s">
        <v>49</v>
      </c>
      <c r="J34" s="21">
        <v>90</v>
      </c>
      <c r="K34" s="21">
        <v>90</v>
      </c>
      <c r="L34" s="21">
        <v>90</v>
      </c>
      <c r="M34" s="82">
        <v>90</v>
      </c>
      <c r="N34" s="166"/>
      <c r="P34" s="149" t="s">
        <v>41</v>
      </c>
      <c r="Q34" s="46">
        <v>190</v>
      </c>
      <c r="R34" s="45" t="s">
        <v>42</v>
      </c>
      <c r="S34" s="48"/>
      <c r="T34" s="48"/>
      <c r="U34" s="10"/>
      <c r="V34" s="35"/>
      <c r="W34" s="35"/>
      <c r="X34" s="30" t="s">
        <v>49</v>
      </c>
      <c r="Y34" s="21">
        <v>90</v>
      </c>
      <c r="Z34" s="21">
        <v>90</v>
      </c>
      <c r="AA34" s="21">
        <v>90</v>
      </c>
      <c r="AB34" s="22">
        <v>90</v>
      </c>
      <c r="AC34" s="166"/>
    </row>
    <row r="35" spans="1:29" x14ac:dyDescent="0.25">
      <c r="A35" s="149" t="s">
        <v>43</v>
      </c>
      <c r="B35" s="46">
        <v>0.75</v>
      </c>
      <c r="C35" s="45" t="s">
        <v>44</v>
      </c>
      <c r="D35" s="48"/>
      <c r="E35" s="48"/>
      <c r="F35" s="10"/>
      <c r="G35" s="35"/>
      <c r="H35" s="35"/>
      <c r="I35" s="35"/>
      <c r="J35" s="66"/>
      <c r="K35" s="66"/>
      <c r="L35" s="66"/>
      <c r="M35" s="67"/>
      <c r="N35" s="147"/>
      <c r="P35" s="149" t="s">
        <v>43</v>
      </c>
      <c r="Q35" s="46">
        <v>0.75</v>
      </c>
      <c r="R35" s="45" t="s">
        <v>44</v>
      </c>
      <c r="S35" s="48"/>
      <c r="T35" s="48"/>
      <c r="U35" s="10"/>
      <c r="V35" s="35"/>
      <c r="W35" s="35"/>
      <c r="X35" s="35"/>
      <c r="Y35" s="66"/>
      <c r="Z35" s="66"/>
      <c r="AA35" s="66"/>
      <c r="AB35" s="67"/>
      <c r="AC35" s="147"/>
    </row>
    <row r="36" spans="1:29" x14ac:dyDescent="0.25">
      <c r="A36" s="150" t="s">
        <v>45</v>
      </c>
      <c r="B36" s="47">
        <v>2.25</v>
      </c>
      <c r="C36" s="38" t="s">
        <v>44</v>
      </c>
      <c r="D36" s="37"/>
      <c r="E36" s="37"/>
      <c r="F36" s="10"/>
      <c r="G36" s="35"/>
      <c r="H36" s="35"/>
      <c r="I36" s="25" t="s">
        <v>68</v>
      </c>
      <c r="J36" s="79">
        <v>0.8</v>
      </c>
      <c r="K36" s="21">
        <v>0.8</v>
      </c>
      <c r="L36" s="79">
        <v>0.8</v>
      </c>
      <c r="M36" s="22">
        <v>0.8</v>
      </c>
      <c r="N36" s="166"/>
      <c r="P36" s="150" t="s">
        <v>45</v>
      </c>
      <c r="Q36" s="47">
        <v>2.25</v>
      </c>
      <c r="R36" s="38" t="s">
        <v>44</v>
      </c>
      <c r="S36" s="37"/>
      <c r="T36" s="37"/>
      <c r="U36" s="10"/>
      <c r="V36" s="35"/>
      <c r="W36" s="35"/>
      <c r="X36" s="25" t="s">
        <v>68</v>
      </c>
      <c r="Y36" s="79">
        <v>0.8</v>
      </c>
      <c r="Z36" s="79">
        <v>0.8</v>
      </c>
      <c r="AA36" s="79">
        <v>0.8</v>
      </c>
      <c r="AB36" s="81">
        <v>0.8</v>
      </c>
      <c r="AC36" s="166"/>
    </row>
    <row r="37" spans="1:29" x14ac:dyDescent="0.25">
      <c r="A37" s="154"/>
      <c r="B37" s="10"/>
      <c r="C37" s="10"/>
      <c r="D37" s="10"/>
      <c r="E37" s="10"/>
      <c r="F37" s="10"/>
      <c r="G37" s="10"/>
      <c r="H37" s="10"/>
      <c r="I37" s="10"/>
      <c r="J37" s="10"/>
      <c r="K37" s="80"/>
      <c r="L37" s="10"/>
      <c r="M37" s="80"/>
      <c r="N37" s="147"/>
      <c r="P37" s="154"/>
      <c r="Q37" s="10"/>
      <c r="R37" s="10"/>
      <c r="S37" s="10"/>
      <c r="T37" s="10"/>
      <c r="U37" s="10"/>
      <c r="V37" s="10"/>
      <c r="W37" s="10"/>
      <c r="X37" s="10"/>
      <c r="Y37" s="10"/>
      <c r="Z37" s="10"/>
      <c r="AA37" s="10"/>
      <c r="AB37" s="10"/>
      <c r="AC37" s="147"/>
    </row>
    <row r="38" spans="1:29" x14ac:dyDescent="0.25">
      <c r="A38" s="152" t="s">
        <v>57</v>
      </c>
      <c r="B38" s="104">
        <f>((B34/B33)+((B35+B36)*3.414))*E13/1000</f>
        <v>32.390714285714289</v>
      </c>
      <c r="C38" s="100" t="s">
        <v>84</v>
      </c>
      <c r="D38" s="100"/>
      <c r="E38" s="100"/>
      <c r="F38" s="10"/>
      <c r="G38" s="10"/>
      <c r="H38" s="10"/>
      <c r="I38" s="10"/>
      <c r="J38" s="10"/>
      <c r="K38" s="10"/>
      <c r="L38" s="10"/>
      <c r="M38" s="10"/>
      <c r="N38" s="147"/>
      <c r="P38" s="170" t="s">
        <v>57</v>
      </c>
      <c r="Q38" s="111">
        <f>((Q34/Q33)+((Q35+Q36)*3.414))*T13/1000</f>
        <v>32.390714285714289</v>
      </c>
      <c r="R38" s="112" t="s">
        <v>84</v>
      </c>
      <c r="S38" s="112"/>
      <c r="T38" s="112"/>
      <c r="U38" s="10"/>
      <c r="V38" s="10"/>
      <c r="W38" s="10"/>
      <c r="X38" s="10"/>
      <c r="Y38" s="10"/>
      <c r="Z38" s="10"/>
      <c r="AA38" s="10"/>
      <c r="AB38" s="10"/>
      <c r="AC38" s="147"/>
    </row>
    <row r="39" spans="1:29" x14ac:dyDescent="0.25">
      <c r="A39" s="154"/>
      <c r="B39" s="10"/>
      <c r="C39" s="10"/>
      <c r="D39" s="10"/>
      <c r="E39" s="10"/>
      <c r="F39" s="10"/>
      <c r="G39" s="10"/>
      <c r="H39" s="10"/>
      <c r="I39" s="10"/>
      <c r="J39" s="10"/>
      <c r="K39" s="10"/>
      <c r="L39" s="10"/>
      <c r="M39" s="10"/>
      <c r="N39" s="147"/>
      <c r="P39" s="154"/>
      <c r="Q39" s="10"/>
      <c r="R39" s="10"/>
      <c r="S39" s="10"/>
      <c r="T39" s="10"/>
      <c r="U39" s="10"/>
      <c r="V39" s="10"/>
      <c r="W39" s="10"/>
      <c r="X39" s="10"/>
      <c r="Y39" s="10"/>
      <c r="Z39" s="10"/>
      <c r="AA39" s="10"/>
      <c r="AB39" s="10"/>
      <c r="AC39" s="147"/>
    </row>
    <row r="40" spans="1:29" x14ac:dyDescent="0.25">
      <c r="A40" s="146" t="s">
        <v>340</v>
      </c>
      <c r="B40" s="84" t="s">
        <v>311</v>
      </c>
      <c r="C40" s="20"/>
      <c r="D40" s="50"/>
      <c r="E40" s="32"/>
      <c r="F40" s="10"/>
      <c r="G40" s="10"/>
      <c r="H40" s="10"/>
      <c r="I40" s="10"/>
      <c r="J40" s="10"/>
      <c r="K40" s="10"/>
      <c r="L40" s="10"/>
      <c r="M40" s="10"/>
      <c r="N40" s="186" t="s">
        <v>341</v>
      </c>
      <c r="P40" s="146" t="s">
        <v>340</v>
      </c>
      <c r="Q40" s="84" t="s">
        <v>311</v>
      </c>
      <c r="R40" s="20"/>
      <c r="S40" s="50"/>
      <c r="T40" s="32"/>
      <c r="U40" s="10"/>
      <c r="V40" s="10"/>
      <c r="W40" s="10"/>
      <c r="X40" s="10"/>
      <c r="Y40" s="10"/>
      <c r="Z40" s="10"/>
      <c r="AA40" s="10"/>
      <c r="AB40" s="10"/>
      <c r="AC40" s="186" t="s">
        <v>341</v>
      </c>
    </row>
    <row r="41" spans="1:29" x14ac:dyDescent="0.25">
      <c r="A41" s="148" t="s">
        <v>79</v>
      </c>
      <c r="B41" s="58">
        <v>6</v>
      </c>
      <c r="C41" s="51" t="s">
        <v>82</v>
      </c>
      <c r="D41" s="48"/>
      <c r="E41" s="48"/>
      <c r="F41" s="10"/>
      <c r="G41" s="10"/>
      <c r="H41" s="10"/>
      <c r="I41" s="10"/>
      <c r="J41" s="10"/>
      <c r="K41" s="10"/>
      <c r="L41" s="10"/>
      <c r="M41" s="10"/>
      <c r="N41" s="189"/>
      <c r="P41" s="148" t="s">
        <v>79</v>
      </c>
      <c r="Q41" s="52">
        <v>6</v>
      </c>
      <c r="R41" s="51" t="s">
        <v>82</v>
      </c>
      <c r="S41" s="48"/>
      <c r="T41" s="48"/>
      <c r="U41" s="10"/>
      <c r="V41" s="10"/>
      <c r="W41" s="10"/>
      <c r="X41" s="10"/>
      <c r="Y41" s="10"/>
      <c r="Z41" s="10"/>
      <c r="AA41" s="10"/>
      <c r="AB41" s="10"/>
      <c r="AC41" s="189"/>
    </row>
    <row r="42" spans="1:29" x14ac:dyDescent="0.25">
      <c r="A42" s="148" t="s">
        <v>80</v>
      </c>
      <c r="B42" s="58">
        <v>23</v>
      </c>
      <c r="C42" s="51" t="s">
        <v>82</v>
      </c>
      <c r="D42" s="48"/>
      <c r="E42" s="48"/>
      <c r="F42" s="10"/>
      <c r="G42" s="10"/>
      <c r="H42" s="10"/>
      <c r="I42" s="10"/>
      <c r="J42" s="10"/>
      <c r="K42" s="10"/>
      <c r="L42" s="10"/>
      <c r="M42" s="10"/>
      <c r="N42" s="189"/>
      <c r="P42" s="148" t="s">
        <v>80</v>
      </c>
      <c r="Q42" s="52">
        <v>17</v>
      </c>
      <c r="R42" s="51" t="s">
        <v>82</v>
      </c>
      <c r="S42" s="48"/>
      <c r="T42" s="48"/>
      <c r="U42" s="10"/>
      <c r="V42" s="10"/>
      <c r="W42" s="10"/>
      <c r="X42" s="10"/>
      <c r="Y42" s="10"/>
      <c r="Z42" s="10"/>
      <c r="AA42" s="10"/>
      <c r="AB42" s="10"/>
      <c r="AC42" s="189"/>
    </row>
    <row r="43" spans="1:29" x14ac:dyDescent="0.25">
      <c r="A43" s="156" t="s">
        <v>81</v>
      </c>
      <c r="B43" s="53">
        <v>0.2</v>
      </c>
      <c r="C43" s="37"/>
      <c r="D43" s="37"/>
      <c r="E43" s="37"/>
      <c r="F43" s="10"/>
      <c r="G43" s="10"/>
      <c r="H43" s="10"/>
      <c r="I43" s="10"/>
      <c r="J43" s="10"/>
      <c r="K43" s="10"/>
      <c r="L43" s="10"/>
      <c r="M43" s="10"/>
      <c r="N43" s="189"/>
      <c r="P43" s="156" t="s">
        <v>81</v>
      </c>
      <c r="Q43" s="53">
        <v>0.2</v>
      </c>
      <c r="R43" s="37"/>
      <c r="S43" s="37"/>
      <c r="T43" s="37"/>
      <c r="U43" s="10"/>
      <c r="V43" s="10"/>
      <c r="W43" s="10"/>
      <c r="X43" s="10"/>
      <c r="Y43" s="10"/>
      <c r="Z43" s="10"/>
      <c r="AA43" s="10"/>
      <c r="AB43" s="10"/>
      <c r="AC43" s="189"/>
    </row>
    <row r="44" spans="1:29" x14ac:dyDescent="0.25">
      <c r="A44" s="151"/>
      <c r="B44" s="10"/>
      <c r="C44" s="10"/>
      <c r="D44" s="10"/>
      <c r="E44" s="10"/>
      <c r="F44" s="10"/>
      <c r="G44" s="10"/>
      <c r="H44" s="10"/>
      <c r="I44" s="10"/>
      <c r="J44" s="10"/>
      <c r="K44" s="10"/>
      <c r="L44" s="10"/>
      <c r="M44" s="10"/>
      <c r="N44" s="189"/>
      <c r="P44" s="151"/>
      <c r="Q44" s="10"/>
      <c r="R44" s="10"/>
      <c r="S44" s="10"/>
      <c r="T44" s="10"/>
      <c r="U44" s="10"/>
      <c r="V44" s="10"/>
      <c r="W44" s="10"/>
      <c r="X44" s="10"/>
      <c r="Y44" s="10"/>
      <c r="Z44" s="10"/>
      <c r="AA44" s="10"/>
      <c r="AB44" s="10"/>
      <c r="AC44" s="189"/>
    </row>
    <row r="45" spans="1:29" x14ac:dyDescent="0.25">
      <c r="A45" s="167" t="s">
        <v>85</v>
      </c>
      <c r="B45" s="103">
        <f>B38*(B42-B41)+B38*B43*(24-B42+B41)</f>
        <v>595.98914285714284</v>
      </c>
      <c r="C45" s="102" t="s">
        <v>86</v>
      </c>
      <c r="D45" s="102"/>
      <c r="E45" s="102"/>
      <c r="F45" s="10"/>
      <c r="G45" s="10"/>
      <c r="H45" s="10"/>
      <c r="I45" s="10"/>
      <c r="J45" s="10"/>
      <c r="K45" s="10"/>
      <c r="L45" s="10"/>
      <c r="M45" s="10"/>
      <c r="N45" s="189"/>
      <c r="P45" s="171" t="s">
        <v>85</v>
      </c>
      <c r="Q45" s="113">
        <f>Q38*(Q42-Q41)+Q38*Q43*(24-Q42+Q41)</f>
        <v>440.51371428571434</v>
      </c>
      <c r="R45" s="108" t="s">
        <v>84</v>
      </c>
      <c r="S45" s="108"/>
      <c r="T45" s="108"/>
      <c r="U45" s="10"/>
      <c r="V45" s="10"/>
      <c r="W45" s="10"/>
      <c r="X45" s="10"/>
      <c r="Y45" s="10"/>
      <c r="Z45" s="10"/>
      <c r="AA45" s="10"/>
      <c r="AB45" s="10"/>
      <c r="AC45" s="189"/>
    </row>
    <row r="46" spans="1:29" x14ac:dyDescent="0.25">
      <c r="A46" s="168"/>
      <c r="B46" s="169"/>
      <c r="C46" s="169"/>
      <c r="D46" s="169"/>
      <c r="E46" s="169"/>
      <c r="F46" s="169"/>
      <c r="G46" s="169"/>
      <c r="H46" s="169"/>
      <c r="I46" s="169"/>
      <c r="J46" s="169"/>
      <c r="K46" s="169"/>
      <c r="L46" s="169"/>
      <c r="M46" s="169"/>
      <c r="N46" s="190"/>
      <c r="P46" s="168"/>
      <c r="Q46" s="169"/>
      <c r="R46" s="169"/>
      <c r="S46" s="169"/>
      <c r="T46" s="169"/>
      <c r="U46" s="169"/>
      <c r="V46" s="169"/>
      <c r="W46" s="169"/>
      <c r="X46" s="169"/>
      <c r="Y46" s="169"/>
      <c r="Z46" s="169"/>
      <c r="AA46" s="169"/>
      <c r="AB46" s="169"/>
      <c r="AC46" s="190"/>
    </row>
    <row r="47" spans="1:29" x14ac:dyDescent="0.25">
      <c r="A47" s="33"/>
      <c r="B47" s="6"/>
      <c r="C47" s="6"/>
      <c r="D47" s="6"/>
      <c r="E47" s="6"/>
      <c r="F47" s="6"/>
      <c r="G47" s="6"/>
      <c r="H47" s="6"/>
      <c r="I47" s="6"/>
      <c r="J47" s="6"/>
      <c r="K47" s="6"/>
      <c r="L47" s="6"/>
      <c r="M47" s="6"/>
      <c r="N47" s="6"/>
      <c r="P47" s="33"/>
      <c r="Q47" s="6"/>
      <c r="R47" s="6"/>
      <c r="S47" s="6"/>
      <c r="T47" s="6"/>
      <c r="U47" s="6"/>
      <c r="V47" s="6"/>
      <c r="W47" s="6"/>
      <c r="X47" s="6"/>
      <c r="Y47" s="6"/>
      <c r="Z47" s="6"/>
      <c r="AA47" s="6"/>
      <c r="AB47" s="6"/>
      <c r="AC47" s="6"/>
    </row>
    <row r="48" spans="1:29" x14ac:dyDescent="0.25">
      <c r="A48" s="68"/>
      <c r="B48" s="69"/>
      <c r="C48" s="69"/>
      <c r="D48" s="69"/>
      <c r="E48" s="69"/>
      <c r="F48" s="69"/>
      <c r="G48" s="69"/>
      <c r="H48" s="69"/>
      <c r="I48" s="69"/>
      <c r="J48" s="69"/>
      <c r="K48" s="69"/>
      <c r="L48" s="69"/>
      <c r="M48" s="69"/>
      <c r="N48" s="69"/>
      <c r="P48" s="68"/>
      <c r="Q48" s="69"/>
      <c r="R48" s="69"/>
      <c r="S48" s="69"/>
      <c r="T48" s="69"/>
      <c r="U48" s="69"/>
      <c r="V48" s="69"/>
      <c r="W48" s="69"/>
      <c r="X48" s="69"/>
      <c r="Y48" s="69"/>
      <c r="Z48" s="69"/>
      <c r="AA48" s="69"/>
      <c r="AB48" s="69"/>
      <c r="AC48" s="69"/>
    </row>
    <row r="49" spans="1:29" ht="21" x14ac:dyDescent="0.35">
      <c r="A49" s="179" t="s">
        <v>288</v>
      </c>
      <c r="B49" s="179"/>
      <c r="C49" s="179"/>
      <c r="D49" s="179"/>
      <c r="E49" s="179"/>
      <c r="F49" s="179"/>
      <c r="G49" s="179"/>
      <c r="H49" s="179"/>
      <c r="I49" s="179"/>
      <c r="J49" s="179"/>
      <c r="K49" s="179"/>
      <c r="L49" s="179"/>
      <c r="M49" s="179"/>
      <c r="N49" s="179"/>
      <c r="P49" s="179" t="s">
        <v>300</v>
      </c>
      <c r="Q49" s="179"/>
      <c r="R49" s="179"/>
      <c r="S49" s="179"/>
      <c r="T49" s="179"/>
      <c r="U49" s="179"/>
      <c r="V49" s="179"/>
      <c r="W49" s="179"/>
      <c r="X49" s="179"/>
      <c r="Y49" s="179"/>
      <c r="Z49" s="179"/>
      <c r="AA49" s="179"/>
      <c r="AB49" s="179"/>
      <c r="AC49" s="179"/>
    </row>
    <row r="50" spans="1:29" x14ac:dyDescent="0.25">
      <c r="A50" s="68"/>
      <c r="B50" s="69"/>
      <c r="C50" s="69"/>
      <c r="D50" s="69"/>
      <c r="E50" s="69"/>
      <c r="F50" s="69"/>
      <c r="G50" s="69"/>
      <c r="H50" s="69"/>
      <c r="I50" s="69"/>
      <c r="J50" s="69"/>
      <c r="K50" s="69"/>
      <c r="L50" s="69"/>
      <c r="M50" s="69"/>
      <c r="N50" s="69"/>
      <c r="P50" s="68"/>
      <c r="Q50" s="69"/>
      <c r="R50" s="69"/>
      <c r="S50" s="69"/>
      <c r="T50" s="69"/>
      <c r="U50" s="69"/>
      <c r="V50" s="69"/>
      <c r="W50" s="69"/>
      <c r="X50" s="69"/>
      <c r="Y50" s="69"/>
      <c r="Z50" s="69"/>
      <c r="AA50" s="69"/>
      <c r="AB50" s="69"/>
      <c r="AC50" s="69"/>
    </row>
    <row r="51" spans="1:29" x14ac:dyDescent="0.25">
      <c r="A51" s="73"/>
      <c r="B51" s="73" t="s">
        <v>1</v>
      </c>
      <c r="C51" s="73" t="s">
        <v>2</v>
      </c>
      <c r="D51" s="73" t="s">
        <v>3</v>
      </c>
      <c r="E51" s="73" t="s">
        <v>4</v>
      </c>
      <c r="F51" s="73" t="s">
        <v>5</v>
      </c>
      <c r="G51" s="73" t="s">
        <v>6</v>
      </c>
      <c r="H51" s="73" t="s">
        <v>7</v>
      </c>
      <c r="I51" s="73" t="s">
        <v>8</v>
      </c>
      <c r="J51" s="73" t="s">
        <v>9</v>
      </c>
      <c r="K51" s="73" t="s">
        <v>10</v>
      </c>
      <c r="L51" s="73" t="s">
        <v>11</v>
      </c>
      <c r="M51" s="73" t="s">
        <v>12</v>
      </c>
      <c r="N51" s="70"/>
      <c r="P51" s="73"/>
      <c r="Q51" s="73" t="s">
        <v>1</v>
      </c>
      <c r="R51" s="73" t="s">
        <v>2</v>
      </c>
      <c r="S51" s="73" t="s">
        <v>3</v>
      </c>
      <c r="T51" s="73" t="s">
        <v>4</v>
      </c>
      <c r="U51" s="73" t="s">
        <v>5</v>
      </c>
      <c r="V51" s="73" t="s">
        <v>6</v>
      </c>
      <c r="W51" s="73" t="s">
        <v>7</v>
      </c>
      <c r="X51" s="73" t="s">
        <v>8</v>
      </c>
      <c r="Y51" s="73" t="s">
        <v>9</v>
      </c>
      <c r="Z51" s="73" t="s">
        <v>10</v>
      </c>
      <c r="AA51" s="73" t="s">
        <v>11</v>
      </c>
      <c r="AB51" s="73" t="s">
        <v>12</v>
      </c>
      <c r="AC51" s="70"/>
    </row>
    <row r="52" spans="1:29" x14ac:dyDescent="0.25">
      <c r="A52" s="73" t="s">
        <v>290</v>
      </c>
      <c r="B52" s="76"/>
      <c r="C52" s="76"/>
      <c r="D52" s="76"/>
      <c r="E52" s="76"/>
      <c r="F52" s="76"/>
      <c r="G52" s="76"/>
      <c r="H52" s="76"/>
      <c r="I52" s="76"/>
      <c r="J52" s="76"/>
      <c r="K52" s="76"/>
      <c r="L52" s="76"/>
      <c r="M52" s="76"/>
      <c r="N52" s="85"/>
      <c r="P52" s="73" t="s">
        <v>290</v>
      </c>
      <c r="Q52" s="76"/>
      <c r="R52" s="76"/>
      <c r="S52" s="76"/>
      <c r="T52" s="76"/>
      <c r="U52" s="76"/>
      <c r="V52" s="76"/>
      <c r="W52" s="76"/>
      <c r="X52" s="76"/>
      <c r="Y52" s="76"/>
      <c r="Z52" s="76"/>
      <c r="AA52" s="76"/>
      <c r="AB52" s="76"/>
      <c r="AC52" s="70"/>
    </row>
    <row r="53" spans="1:29" x14ac:dyDescent="0.25">
      <c r="A53" s="73" t="s">
        <v>289</v>
      </c>
      <c r="B53" s="76"/>
      <c r="C53" s="76"/>
      <c r="D53" s="76"/>
      <c r="E53" s="76"/>
      <c r="F53" s="76"/>
      <c r="G53" s="76"/>
      <c r="H53" s="76"/>
      <c r="I53" s="76"/>
      <c r="J53" s="76"/>
      <c r="K53" s="76"/>
      <c r="L53" s="76"/>
      <c r="M53" s="76"/>
      <c r="N53" s="85"/>
      <c r="P53" s="73" t="s">
        <v>289</v>
      </c>
      <c r="Q53" s="76"/>
      <c r="R53" s="76"/>
      <c r="S53" s="76"/>
      <c r="T53" s="76"/>
      <c r="U53" s="76"/>
      <c r="V53" s="76"/>
      <c r="W53" s="76"/>
      <c r="X53" s="76"/>
      <c r="Y53" s="76"/>
      <c r="Z53" s="76"/>
      <c r="AA53" s="76"/>
      <c r="AB53" s="76"/>
      <c r="AC53" s="70"/>
    </row>
    <row r="54" spans="1:29" x14ac:dyDescent="0.25">
      <c r="A54" s="73" t="s">
        <v>291</v>
      </c>
      <c r="B54" s="76"/>
      <c r="C54" s="76"/>
      <c r="D54" s="76"/>
      <c r="E54" s="76"/>
      <c r="F54" s="76"/>
      <c r="G54" s="76"/>
      <c r="H54" s="76"/>
      <c r="I54" s="76"/>
      <c r="J54" s="76"/>
      <c r="K54" s="76"/>
      <c r="L54" s="76"/>
      <c r="M54" s="76"/>
      <c r="N54" s="85"/>
      <c r="P54" s="73" t="s">
        <v>291</v>
      </c>
      <c r="Q54" s="76"/>
      <c r="R54" s="76"/>
      <c r="S54" s="76"/>
      <c r="T54" s="76"/>
      <c r="U54" s="76"/>
      <c r="V54" s="76"/>
      <c r="W54" s="76"/>
      <c r="X54" s="76"/>
      <c r="Y54" s="76"/>
      <c r="Z54" s="76"/>
      <c r="AA54" s="76"/>
      <c r="AB54" s="76"/>
      <c r="AC54" s="70"/>
    </row>
    <row r="55" spans="1:29" x14ac:dyDescent="0.25">
      <c r="A55" s="73" t="s">
        <v>292</v>
      </c>
      <c r="B55" s="76"/>
      <c r="C55" s="76"/>
      <c r="D55" s="76"/>
      <c r="E55" s="76"/>
      <c r="F55" s="76"/>
      <c r="G55" s="76"/>
      <c r="H55" s="76"/>
      <c r="I55" s="76"/>
      <c r="J55" s="76"/>
      <c r="K55" s="76"/>
      <c r="L55" s="76"/>
      <c r="M55" s="76"/>
      <c r="N55" s="85"/>
      <c r="P55" s="73" t="s">
        <v>292</v>
      </c>
      <c r="Q55" s="76"/>
      <c r="R55" s="76"/>
      <c r="S55" s="76"/>
      <c r="T55" s="76"/>
      <c r="U55" s="76"/>
      <c r="V55" s="76"/>
      <c r="W55" s="76"/>
      <c r="X55" s="76"/>
      <c r="Y55" s="76"/>
      <c r="Z55" s="76"/>
      <c r="AA55" s="76"/>
      <c r="AB55" s="76"/>
      <c r="AC55" s="70"/>
    </row>
    <row r="56" spans="1:29" x14ac:dyDescent="0.25">
      <c r="A56" s="73" t="s">
        <v>293</v>
      </c>
      <c r="B56" s="76"/>
      <c r="C56" s="76"/>
      <c r="D56" s="76"/>
      <c r="E56" s="76"/>
      <c r="F56" s="76"/>
      <c r="G56" s="76"/>
      <c r="H56" s="76"/>
      <c r="I56" s="76"/>
      <c r="J56" s="76"/>
      <c r="K56" s="76"/>
      <c r="L56" s="76"/>
      <c r="M56" s="76"/>
      <c r="N56" s="85"/>
      <c r="P56" s="73" t="s">
        <v>293</v>
      </c>
      <c r="Q56" s="76"/>
      <c r="R56" s="76"/>
      <c r="S56" s="76"/>
      <c r="T56" s="76"/>
      <c r="U56" s="76"/>
      <c r="V56" s="76"/>
      <c r="W56" s="76"/>
      <c r="X56" s="76"/>
      <c r="Y56" s="76"/>
      <c r="Z56" s="76"/>
      <c r="AA56" s="76"/>
      <c r="AB56" s="76"/>
      <c r="AC56" s="70"/>
    </row>
    <row r="57" spans="1:29" x14ac:dyDescent="0.25">
      <c r="A57" s="73" t="s">
        <v>294</v>
      </c>
      <c r="B57" s="76"/>
      <c r="C57" s="76"/>
      <c r="D57" s="76"/>
      <c r="E57" s="76"/>
      <c r="F57" s="76"/>
      <c r="G57" s="76"/>
      <c r="H57" s="76"/>
      <c r="I57" s="76"/>
      <c r="J57" s="76"/>
      <c r="K57" s="76"/>
      <c r="L57" s="76"/>
      <c r="M57" s="76"/>
      <c r="N57" s="85"/>
      <c r="P57" s="73" t="s">
        <v>294</v>
      </c>
      <c r="Q57" s="76"/>
      <c r="R57" s="76"/>
      <c r="S57" s="76"/>
      <c r="T57" s="76"/>
      <c r="U57" s="76"/>
      <c r="V57" s="76"/>
      <c r="W57" s="76"/>
      <c r="X57" s="76"/>
      <c r="Y57" s="76"/>
      <c r="Z57" s="76"/>
      <c r="AA57" s="76"/>
      <c r="AB57" s="76"/>
      <c r="AC57" s="70"/>
    </row>
    <row r="58" spans="1:29" x14ac:dyDescent="0.25">
      <c r="A58" s="73" t="s">
        <v>275</v>
      </c>
      <c r="B58" s="76"/>
      <c r="C58" s="76"/>
      <c r="D58" s="76"/>
      <c r="E58" s="76">
        <v>1</v>
      </c>
      <c r="F58" s="76">
        <v>1</v>
      </c>
      <c r="G58" s="76">
        <v>1</v>
      </c>
      <c r="H58" s="76">
        <v>1</v>
      </c>
      <c r="I58" s="76">
        <v>1</v>
      </c>
      <c r="J58" s="76"/>
      <c r="K58" s="76"/>
      <c r="L58" s="76"/>
      <c r="M58" s="76"/>
      <c r="N58" s="85"/>
      <c r="P58" s="73" t="s">
        <v>275</v>
      </c>
      <c r="Q58" s="76"/>
      <c r="R58" s="76"/>
      <c r="S58" s="76"/>
      <c r="T58" s="76">
        <v>1</v>
      </c>
      <c r="U58" s="76">
        <v>1</v>
      </c>
      <c r="V58" s="76">
        <v>1</v>
      </c>
      <c r="W58" s="76">
        <v>1</v>
      </c>
      <c r="X58" s="76">
        <v>1</v>
      </c>
      <c r="Y58" s="76"/>
      <c r="Z58" s="76"/>
      <c r="AA58" s="76"/>
      <c r="AB58" s="76"/>
      <c r="AC58" s="70"/>
    </row>
    <row r="59" spans="1:29" x14ac:dyDescent="0.25">
      <c r="A59" s="73" t="s">
        <v>276</v>
      </c>
      <c r="B59" s="76">
        <v>1</v>
      </c>
      <c r="C59" s="76">
        <v>1</v>
      </c>
      <c r="D59" s="76">
        <v>1</v>
      </c>
      <c r="E59" s="76">
        <v>1</v>
      </c>
      <c r="F59" s="76">
        <v>1</v>
      </c>
      <c r="G59" s="76">
        <v>1</v>
      </c>
      <c r="H59" s="76">
        <v>1</v>
      </c>
      <c r="I59" s="76">
        <v>1</v>
      </c>
      <c r="J59" s="76">
        <v>1</v>
      </c>
      <c r="K59" s="76">
        <v>1</v>
      </c>
      <c r="L59" s="76">
        <v>1</v>
      </c>
      <c r="M59" s="76">
        <v>1</v>
      </c>
      <c r="N59" s="85"/>
      <c r="P59" s="73" t="s">
        <v>276</v>
      </c>
      <c r="Q59" s="76">
        <v>1</v>
      </c>
      <c r="R59" s="76">
        <v>1</v>
      </c>
      <c r="S59" s="76">
        <v>1</v>
      </c>
      <c r="T59" s="76">
        <v>1</v>
      </c>
      <c r="U59" s="76">
        <v>1</v>
      </c>
      <c r="V59" s="76">
        <v>1</v>
      </c>
      <c r="W59" s="76">
        <v>1</v>
      </c>
      <c r="X59" s="76">
        <v>1</v>
      </c>
      <c r="Y59" s="76">
        <v>1</v>
      </c>
      <c r="Z59" s="76">
        <v>1</v>
      </c>
      <c r="AA59" s="76">
        <v>1</v>
      </c>
      <c r="AB59" s="76">
        <v>1</v>
      </c>
      <c r="AC59" s="70"/>
    </row>
    <row r="60" spans="1:29" x14ac:dyDescent="0.25">
      <c r="A60" s="73" t="s">
        <v>277</v>
      </c>
      <c r="B60" s="76">
        <v>1</v>
      </c>
      <c r="C60" s="76">
        <v>1</v>
      </c>
      <c r="D60" s="76">
        <v>1</v>
      </c>
      <c r="E60" s="76">
        <v>1</v>
      </c>
      <c r="F60" s="76">
        <v>1</v>
      </c>
      <c r="G60" s="76">
        <v>1</v>
      </c>
      <c r="H60" s="76">
        <v>1</v>
      </c>
      <c r="I60" s="76">
        <v>1</v>
      </c>
      <c r="J60" s="76">
        <v>1</v>
      </c>
      <c r="K60" s="76">
        <v>1</v>
      </c>
      <c r="L60" s="76">
        <v>1</v>
      </c>
      <c r="M60" s="76">
        <v>1</v>
      </c>
      <c r="N60" s="85"/>
      <c r="P60" s="73" t="s">
        <v>277</v>
      </c>
      <c r="Q60" s="76">
        <v>1</v>
      </c>
      <c r="R60" s="76">
        <v>1</v>
      </c>
      <c r="S60" s="76">
        <v>1</v>
      </c>
      <c r="T60" s="76">
        <v>1</v>
      </c>
      <c r="U60" s="76">
        <v>1</v>
      </c>
      <c r="V60" s="76">
        <v>1</v>
      </c>
      <c r="W60" s="76">
        <v>1</v>
      </c>
      <c r="X60" s="76">
        <v>1</v>
      </c>
      <c r="Y60" s="76">
        <v>1</v>
      </c>
      <c r="Z60" s="76">
        <v>1</v>
      </c>
      <c r="AA60" s="76">
        <v>1</v>
      </c>
      <c r="AB60" s="76">
        <v>1</v>
      </c>
      <c r="AC60" s="70"/>
    </row>
    <row r="61" spans="1:29" x14ac:dyDescent="0.25">
      <c r="A61" s="73" t="s">
        <v>278</v>
      </c>
      <c r="B61" s="76">
        <v>1</v>
      </c>
      <c r="C61" s="76">
        <v>1</v>
      </c>
      <c r="D61" s="76">
        <v>1</v>
      </c>
      <c r="E61" s="76">
        <v>1</v>
      </c>
      <c r="F61" s="76">
        <v>1</v>
      </c>
      <c r="G61" s="76">
        <v>1</v>
      </c>
      <c r="H61" s="76">
        <v>1</v>
      </c>
      <c r="I61" s="76">
        <v>1</v>
      </c>
      <c r="J61" s="76">
        <v>1</v>
      </c>
      <c r="K61" s="76">
        <v>1</v>
      </c>
      <c r="L61" s="76">
        <v>1</v>
      </c>
      <c r="M61" s="76">
        <v>1</v>
      </c>
      <c r="N61" s="85"/>
      <c r="P61" s="73" t="s">
        <v>278</v>
      </c>
      <c r="Q61" s="76">
        <v>1</v>
      </c>
      <c r="R61" s="76">
        <v>1</v>
      </c>
      <c r="S61" s="76">
        <v>1</v>
      </c>
      <c r="T61" s="76">
        <v>1</v>
      </c>
      <c r="U61" s="76">
        <v>1</v>
      </c>
      <c r="V61" s="76">
        <v>1</v>
      </c>
      <c r="W61" s="76">
        <v>1</v>
      </c>
      <c r="X61" s="76">
        <v>1</v>
      </c>
      <c r="Y61" s="76">
        <v>1</v>
      </c>
      <c r="Z61" s="76">
        <v>1</v>
      </c>
      <c r="AA61" s="76">
        <v>1</v>
      </c>
      <c r="AB61" s="76">
        <v>1</v>
      </c>
      <c r="AC61" s="70"/>
    </row>
    <row r="62" spans="1:29" x14ac:dyDescent="0.25">
      <c r="A62" s="73" t="s">
        <v>279</v>
      </c>
      <c r="B62" s="76">
        <v>1</v>
      </c>
      <c r="C62" s="76">
        <v>1</v>
      </c>
      <c r="D62" s="76">
        <v>1</v>
      </c>
      <c r="E62" s="76">
        <v>1</v>
      </c>
      <c r="F62" s="76">
        <v>1</v>
      </c>
      <c r="G62" s="76">
        <v>1</v>
      </c>
      <c r="H62" s="76">
        <v>1</v>
      </c>
      <c r="I62" s="76">
        <v>1</v>
      </c>
      <c r="J62" s="76">
        <v>1</v>
      </c>
      <c r="K62" s="76">
        <v>1</v>
      </c>
      <c r="L62" s="76">
        <v>1</v>
      </c>
      <c r="M62" s="76">
        <v>1</v>
      </c>
      <c r="N62" s="85"/>
      <c r="P62" s="73" t="s">
        <v>279</v>
      </c>
      <c r="Q62" s="76">
        <v>1</v>
      </c>
      <c r="R62" s="76">
        <v>1</v>
      </c>
      <c r="S62" s="76">
        <v>1</v>
      </c>
      <c r="T62" s="76">
        <v>1</v>
      </c>
      <c r="U62" s="76">
        <v>1</v>
      </c>
      <c r="V62" s="76">
        <v>1</v>
      </c>
      <c r="W62" s="76">
        <v>1</v>
      </c>
      <c r="X62" s="76">
        <v>1</v>
      </c>
      <c r="Y62" s="76">
        <v>1</v>
      </c>
      <c r="Z62" s="76">
        <v>1</v>
      </c>
      <c r="AA62" s="76">
        <v>1</v>
      </c>
      <c r="AB62" s="76">
        <v>1</v>
      </c>
      <c r="AC62" s="70"/>
    </row>
    <row r="63" spans="1:29" x14ac:dyDescent="0.25">
      <c r="A63" s="73" t="s">
        <v>280</v>
      </c>
      <c r="B63" s="76">
        <v>1</v>
      </c>
      <c r="C63" s="76">
        <v>1</v>
      </c>
      <c r="D63" s="76">
        <v>1</v>
      </c>
      <c r="E63" s="76">
        <v>1</v>
      </c>
      <c r="F63" s="76">
        <v>1</v>
      </c>
      <c r="G63" s="76">
        <v>1</v>
      </c>
      <c r="H63" s="76">
        <v>1</v>
      </c>
      <c r="I63" s="76">
        <v>1</v>
      </c>
      <c r="J63" s="76">
        <v>1</v>
      </c>
      <c r="K63" s="76">
        <v>1</v>
      </c>
      <c r="L63" s="76">
        <v>1</v>
      </c>
      <c r="M63" s="76">
        <v>1</v>
      </c>
      <c r="N63" s="85"/>
      <c r="P63" s="73" t="s">
        <v>280</v>
      </c>
      <c r="Q63" s="76">
        <v>1</v>
      </c>
      <c r="R63" s="76">
        <v>1</v>
      </c>
      <c r="S63" s="76">
        <v>1</v>
      </c>
      <c r="T63" s="76">
        <v>1</v>
      </c>
      <c r="U63" s="76">
        <v>1</v>
      </c>
      <c r="V63" s="76">
        <v>1</v>
      </c>
      <c r="W63" s="76">
        <v>1</v>
      </c>
      <c r="X63" s="76">
        <v>1</v>
      </c>
      <c r="Y63" s="76">
        <v>1</v>
      </c>
      <c r="Z63" s="76">
        <v>1</v>
      </c>
      <c r="AA63" s="76">
        <v>1</v>
      </c>
      <c r="AB63" s="76">
        <v>1</v>
      </c>
      <c r="AC63" s="70"/>
    </row>
    <row r="64" spans="1:29" x14ac:dyDescent="0.25">
      <c r="A64" s="73" t="s">
        <v>281</v>
      </c>
      <c r="B64" s="76">
        <v>1</v>
      </c>
      <c r="C64" s="76">
        <v>1</v>
      </c>
      <c r="D64" s="76">
        <v>1</v>
      </c>
      <c r="E64" s="76">
        <v>1</v>
      </c>
      <c r="F64" s="76">
        <v>1</v>
      </c>
      <c r="G64" s="76">
        <v>1</v>
      </c>
      <c r="H64" s="76">
        <v>1</v>
      </c>
      <c r="I64" s="76">
        <v>1</v>
      </c>
      <c r="J64" s="76">
        <v>1</v>
      </c>
      <c r="K64" s="76">
        <v>1</v>
      </c>
      <c r="L64" s="76">
        <v>1</v>
      </c>
      <c r="M64" s="76">
        <v>1</v>
      </c>
      <c r="N64" s="85"/>
      <c r="P64" s="73" t="s">
        <v>281</v>
      </c>
      <c r="Q64" s="76">
        <v>1</v>
      </c>
      <c r="R64" s="76">
        <v>1</v>
      </c>
      <c r="S64" s="76">
        <v>1</v>
      </c>
      <c r="T64" s="76">
        <v>1</v>
      </c>
      <c r="U64" s="76">
        <v>1</v>
      </c>
      <c r="V64" s="76">
        <v>1</v>
      </c>
      <c r="W64" s="76">
        <v>1</v>
      </c>
      <c r="X64" s="76">
        <v>1</v>
      </c>
      <c r="Y64" s="76">
        <v>1</v>
      </c>
      <c r="Z64" s="76">
        <v>1</v>
      </c>
      <c r="AA64" s="76">
        <v>1</v>
      </c>
      <c r="AB64" s="76">
        <v>1</v>
      </c>
      <c r="AC64" s="70"/>
    </row>
    <row r="65" spans="1:29" x14ac:dyDescent="0.25">
      <c r="A65" s="73" t="s">
        <v>282</v>
      </c>
      <c r="B65" s="76">
        <v>1</v>
      </c>
      <c r="C65" s="76">
        <v>1</v>
      </c>
      <c r="D65" s="76">
        <v>1</v>
      </c>
      <c r="E65" s="76">
        <v>1</v>
      </c>
      <c r="F65" s="76">
        <v>1</v>
      </c>
      <c r="G65" s="76">
        <v>1</v>
      </c>
      <c r="H65" s="76">
        <v>1</v>
      </c>
      <c r="I65" s="76">
        <v>1</v>
      </c>
      <c r="J65" s="76">
        <v>1</v>
      </c>
      <c r="K65" s="76">
        <v>1</v>
      </c>
      <c r="L65" s="76">
        <v>1</v>
      </c>
      <c r="M65" s="76">
        <v>1</v>
      </c>
      <c r="N65" s="85"/>
      <c r="P65" s="73" t="s">
        <v>282</v>
      </c>
      <c r="Q65" s="76">
        <v>1</v>
      </c>
      <c r="R65" s="76">
        <v>1</v>
      </c>
      <c r="S65" s="76">
        <v>1</v>
      </c>
      <c r="T65" s="76">
        <v>1</v>
      </c>
      <c r="U65" s="76">
        <v>1</v>
      </c>
      <c r="V65" s="76">
        <v>1</v>
      </c>
      <c r="W65" s="76">
        <v>1</v>
      </c>
      <c r="X65" s="76">
        <v>1</v>
      </c>
      <c r="Y65" s="76">
        <v>1</v>
      </c>
      <c r="Z65" s="76">
        <v>1</v>
      </c>
      <c r="AA65" s="76">
        <v>1</v>
      </c>
      <c r="AB65" s="76">
        <v>1</v>
      </c>
      <c r="AC65" s="70"/>
    </row>
    <row r="66" spans="1:29" x14ac:dyDescent="0.25">
      <c r="A66" s="73" t="s">
        <v>283</v>
      </c>
      <c r="B66" s="76">
        <v>1</v>
      </c>
      <c r="C66" s="76">
        <v>1</v>
      </c>
      <c r="D66" s="76">
        <v>1</v>
      </c>
      <c r="E66" s="76">
        <v>1</v>
      </c>
      <c r="F66" s="76">
        <v>1</v>
      </c>
      <c r="G66" s="76">
        <v>1</v>
      </c>
      <c r="H66" s="76">
        <v>1</v>
      </c>
      <c r="I66" s="76">
        <v>1</v>
      </c>
      <c r="J66" s="76">
        <v>1</v>
      </c>
      <c r="K66" s="76">
        <v>1</v>
      </c>
      <c r="L66" s="76">
        <v>1</v>
      </c>
      <c r="M66" s="76">
        <v>1</v>
      </c>
      <c r="N66" s="85"/>
      <c r="P66" s="73" t="s">
        <v>283</v>
      </c>
      <c r="Q66" s="76">
        <v>1</v>
      </c>
      <c r="R66" s="76">
        <v>1</v>
      </c>
      <c r="S66" s="76">
        <v>1</v>
      </c>
      <c r="T66" s="76">
        <v>1</v>
      </c>
      <c r="U66" s="76">
        <v>1</v>
      </c>
      <c r="V66" s="76">
        <v>1</v>
      </c>
      <c r="W66" s="76">
        <v>1</v>
      </c>
      <c r="X66" s="76">
        <v>1</v>
      </c>
      <c r="Y66" s="76">
        <v>1</v>
      </c>
      <c r="Z66" s="76">
        <v>1</v>
      </c>
      <c r="AA66" s="76">
        <v>1</v>
      </c>
      <c r="AB66" s="76">
        <v>1</v>
      </c>
      <c r="AC66" s="70"/>
    </row>
    <row r="67" spans="1:29" x14ac:dyDescent="0.25">
      <c r="A67" s="73" t="s">
        <v>284</v>
      </c>
      <c r="B67" s="76">
        <v>1</v>
      </c>
      <c r="C67" s="76">
        <v>1</v>
      </c>
      <c r="D67" s="76">
        <v>1</v>
      </c>
      <c r="E67" s="76">
        <v>1</v>
      </c>
      <c r="F67" s="76">
        <v>1</v>
      </c>
      <c r="G67" s="76">
        <v>1</v>
      </c>
      <c r="H67" s="76">
        <v>1</v>
      </c>
      <c r="I67" s="76">
        <v>1</v>
      </c>
      <c r="J67" s="76">
        <v>1</v>
      </c>
      <c r="K67" s="76">
        <v>1</v>
      </c>
      <c r="L67" s="76">
        <v>1</v>
      </c>
      <c r="M67" s="76">
        <v>1</v>
      </c>
      <c r="N67" s="85"/>
      <c r="P67" s="73" t="s">
        <v>284</v>
      </c>
      <c r="Q67" s="76">
        <v>1</v>
      </c>
      <c r="R67" s="76">
        <v>1</v>
      </c>
      <c r="S67" s="76">
        <v>1</v>
      </c>
      <c r="T67" s="76">
        <v>1</v>
      </c>
      <c r="U67" s="76">
        <v>1</v>
      </c>
      <c r="V67" s="76">
        <v>1</v>
      </c>
      <c r="W67" s="76">
        <v>1</v>
      </c>
      <c r="X67" s="76">
        <v>1</v>
      </c>
      <c r="Y67" s="76">
        <v>1</v>
      </c>
      <c r="Z67" s="76">
        <v>1</v>
      </c>
      <c r="AA67" s="76">
        <v>1</v>
      </c>
      <c r="AB67" s="76">
        <v>1</v>
      </c>
      <c r="AC67" s="70"/>
    </row>
    <row r="68" spans="1:29" x14ac:dyDescent="0.25">
      <c r="A68" s="73" t="s">
        <v>285</v>
      </c>
      <c r="B68" s="76">
        <v>1</v>
      </c>
      <c r="C68" s="76">
        <v>1</v>
      </c>
      <c r="D68" s="76">
        <v>1</v>
      </c>
      <c r="E68" s="76">
        <v>1</v>
      </c>
      <c r="F68" s="76">
        <v>1</v>
      </c>
      <c r="G68" s="76">
        <v>1</v>
      </c>
      <c r="H68" s="76">
        <v>1</v>
      </c>
      <c r="I68" s="76">
        <v>1</v>
      </c>
      <c r="J68" s="76">
        <v>1</v>
      </c>
      <c r="K68" s="76">
        <v>1</v>
      </c>
      <c r="L68" s="76">
        <v>1</v>
      </c>
      <c r="M68" s="76">
        <v>1</v>
      </c>
      <c r="N68" s="85"/>
      <c r="P68" s="73" t="s">
        <v>285</v>
      </c>
      <c r="Q68" s="76">
        <v>1</v>
      </c>
      <c r="R68" s="76">
        <v>1</v>
      </c>
      <c r="S68" s="76">
        <v>1</v>
      </c>
      <c r="T68" s="76">
        <v>1</v>
      </c>
      <c r="U68" s="76">
        <v>1</v>
      </c>
      <c r="V68" s="76">
        <v>1</v>
      </c>
      <c r="W68" s="76">
        <v>1</v>
      </c>
      <c r="X68" s="76">
        <v>1</v>
      </c>
      <c r="Y68" s="76">
        <v>1</v>
      </c>
      <c r="Z68" s="76">
        <v>1</v>
      </c>
      <c r="AA68" s="76">
        <v>1</v>
      </c>
      <c r="AB68" s="76">
        <v>1</v>
      </c>
      <c r="AC68" s="70"/>
    </row>
    <row r="69" spans="1:29" x14ac:dyDescent="0.25">
      <c r="A69" s="73" t="s">
        <v>286</v>
      </c>
      <c r="B69" s="76">
        <v>1</v>
      </c>
      <c r="C69" s="76">
        <v>1</v>
      </c>
      <c r="D69" s="76">
        <v>1</v>
      </c>
      <c r="E69" s="76">
        <v>1</v>
      </c>
      <c r="F69" s="76">
        <v>1</v>
      </c>
      <c r="G69" s="76">
        <v>1</v>
      </c>
      <c r="H69" s="76">
        <v>1</v>
      </c>
      <c r="I69" s="76">
        <v>1</v>
      </c>
      <c r="J69" s="76">
        <v>1</v>
      </c>
      <c r="K69" s="76">
        <v>1</v>
      </c>
      <c r="L69" s="76">
        <v>1</v>
      </c>
      <c r="M69" s="76">
        <v>1</v>
      </c>
      <c r="N69" s="85"/>
      <c r="P69" s="73" t="s">
        <v>286</v>
      </c>
      <c r="Q69" s="76">
        <v>7.0222596963507897E-2</v>
      </c>
      <c r="R69" s="76">
        <v>0.21845004599846637</v>
      </c>
      <c r="S69" s="76">
        <v>1</v>
      </c>
      <c r="T69" s="76">
        <v>1</v>
      </c>
      <c r="U69" s="76">
        <v>1</v>
      </c>
      <c r="V69" s="76">
        <v>1</v>
      </c>
      <c r="W69" s="76">
        <v>1</v>
      </c>
      <c r="X69" s="76">
        <v>1</v>
      </c>
      <c r="Y69" s="76">
        <v>1</v>
      </c>
      <c r="Z69" s="76">
        <v>1</v>
      </c>
      <c r="AA69" s="76">
        <v>1</v>
      </c>
      <c r="AB69" s="76">
        <v>1</v>
      </c>
      <c r="AC69" s="70"/>
    </row>
    <row r="70" spans="1:29" x14ac:dyDescent="0.25">
      <c r="A70" s="73" t="s">
        <v>287</v>
      </c>
      <c r="B70" s="76"/>
      <c r="C70" s="76"/>
      <c r="D70" s="76"/>
      <c r="E70" s="76">
        <v>1</v>
      </c>
      <c r="F70" s="76">
        <v>1</v>
      </c>
      <c r="G70" s="76">
        <v>1</v>
      </c>
      <c r="H70" s="76">
        <v>1</v>
      </c>
      <c r="I70" s="76">
        <v>1</v>
      </c>
      <c r="J70" s="76"/>
      <c r="K70" s="76"/>
      <c r="L70" s="76"/>
      <c r="M70" s="76"/>
      <c r="N70" s="85"/>
      <c r="P70" s="73" t="s">
        <v>287</v>
      </c>
      <c r="Q70" s="76"/>
      <c r="R70" s="76"/>
      <c r="S70" s="76"/>
      <c r="T70" s="76">
        <v>0</v>
      </c>
      <c r="U70" s="76">
        <v>1</v>
      </c>
      <c r="V70" s="76">
        <v>1</v>
      </c>
      <c r="W70" s="76">
        <v>1</v>
      </c>
      <c r="X70" s="76">
        <v>1</v>
      </c>
      <c r="Y70" s="76"/>
      <c r="Z70" s="76"/>
      <c r="AA70" s="76"/>
      <c r="AB70" s="76"/>
      <c r="AC70" s="70"/>
    </row>
    <row r="71" spans="1:29" x14ac:dyDescent="0.25">
      <c r="A71" s="73" t="s">
        <v>295</v>
      </c>
      <c r="B71" s="76"/>
      <c r="C71" s="76"/>
      <c r="D71" s="76"/>
      <c r="E71" s="76"/>
      <c r="F71" s="76"/>
      <c r="G71" s="76"/>
      <c r="H71" s="76"/>
      <c r="I71" s="76"/>
      <c r="J71" s="76"/>
      <c r="K71" s="76"/>
      <c r="L71" s="76"/>
      <c r="M71" s="76"/>
      <c r="N71" s="85"/>
      <c r="P71" s="73" t="s">
        <v>295</v>
      </c>
      <c r="Q71" s="76"/>
      <c r="R71" s="76"/>
      <c r="S71" s="76"/>
      <c r="T71" s="76"/>
      <c r="U71" s="76"/>
      <c r="V71" s="76"/>
      <c r="W71" s="76"/>
      <c r="X71" s="76"/>
      <c r="Y71" s="76"/>
      <c r="Z71" s="76"/>
      <c r="AA71" s="76"/>
      <c r="AB71" s="76"/>
      <c r="AC71" s="70"/>
    </row>
    <row r="72" spans="1:29" x14ac:dyDescent="0.25">
      <c r="A72" s="73" t="s">
        <v>296</v>
      </c>
      <c r="B72" s="76"/>
      <c r="C72" s="76"/>
      <c r="D72" s="76"/>
      <c r="E72" s="76"/>
      <c r="F72" s="76"/>
      <c r="G72" s="76"/>
      <c r="H72" s="76"/>
      <c r="I72" s="76"/>
      <c r="J72" s="76"/>
      <c r="K72" s="76"/>
      <c r="L72" s="76"/>
      <c r="M72" s="76"/>
      <c r="N72" s="85"/>
      <c r="P72" s="73" t="s">
        <v>296</v>
      </c>
      <c r="Q72" s="76"/>
      <c r="R72" s="76"/>
      <c r="S72" s="76"/>
      <c r="T72" s="76"/>
      <c r="U72" s="76"/>
      <c r="V72" s="76"/>
      <c r="W72" s="76"/>
      <c r="X72" s="76"/>
      <c r="Y72" s="76"/>
      <c r="Z72" s="76"/>
      <c r="AA72" s="76"/>
      <c r="AB72" s="76"/>
      <c r="AC72" s="70"/>
    </row>
    <row r="73" spans="1:29" x14ac:dyDescent="0.25">
      <c r="A73" s="73" t="s">
        <v>297</v>
      </c>
      <c r="B73" s="76"/>
      <c r="C73" s="76"/>
      <c r="D73" s="76"/>
      <c r="E73" s="76"/>
      <c r="F73" s="76"/>
      <c r="G73" s="76"/>
      <c r="H73" s="76"/>
      <c r="I73" s="76"/>
      <c r="J73" s="76"/>
      <c r="K73" s="76"/>
      <c r="L73" s="76"/>
      <c r="M73" s="76"/>
      <c r="N73" s="85"/>
      <c r="P73" s="73" t="s">
        <v>297</v>
      </c>
      <c r="Q73" s="76"/>
      <c r="R73" s="76"/>
      <c r="S73" s="76"/>
      <c r="T73" s="76"/>
      <c r="U73" s="76"/>
      <c r="V73" s="76"/>
      <c r="W73" s="76"/>
      <c r="X73" s="76"/>
      <c r="Y73" s="76"/>
      <c r="Z73" s="76"/>
      <c r="AA73" s="76"/>
      <c r="AB73" s="76"/>
      <c r="AC73" s="70"/>
    </row>
    <row r="74" spans="1:29" x14ac:dyDescent="0.25">
      <c r="A74" s="73" t="s">
        <v>298</v>
      </c>
      <c r="B74" s="76"/>
      <c r="C74" s="76"/>
      <c r="D74" s="76"/>
      <c r="E74" s="76"/>
      <c r="F74" s="76"/>
      <c r="G74" s="76"/>
      <c r="H74" s="76"/>
      <c r="I74" s="76"/>
      <c r="J74" s="76"/>
      <c r="K74" s="76"/>
      <c r="L74" s="76"/>
      <c r="M74" s="76"/>
      <c r="N74" s="85"/>
      <c r="P74" s="73" t="s">
        <v>298</v>
      </c>
      <c r="Q74" s="76"/>
      <c r="R74" s="76"/>
      <c r="S74" s="76"/>
      <c r="T74" s="76"/>
      <c r="U74" s="76"/>
      <c r="V74" s="76"/>
      <c r="W74" s="76"/>
      <c r="X74" s="76"/>
      <c r="Y74" s="76"/>
      <c r="Z74" s="76"/>
      <c r="AA74" s="76"/>
      <c r="AB74" s="76"/>
      <c r="AC74" s="70"/>
    </row>
    <row r="75" spans="1:29" x14ac:dyDescent="0.25">
      <c r="A75" s="73" t="s">
        <v>299</v>
      </c>
      <c r="B75" s="76"/>
      <c r="C75" s="76"/>
      <c r="D75" s="76"/>
      <c r="E75" s="76"/>
      <c r="F75" s="76"/>
      <c r="G75" s="76"/>
      <c r="H75" s="76"/>
      <c r="I75" s="76"/>
      <c r="J75" s="76"/>
      <c r="K75" s="76"/>
      <c r="L75" s="76"/>
      <c r="M75" s="76"/>
      <c r="N75" s="85"/>
      <c r="P75" s="73" t="s">
        <v>299</v>
      </c>
      <c r="Q75" s="76"/>
      <c r="R75" s="76"/>
      <c r="S75" s="76"/>
      <c r="T75" s="76"/>
      <c r="U75" s="76"/>
      <c r="V75" s="76"/>
      <c r="W75" s="76"/>
      <c r="X75" s="76"/>
      <c r="Y75" s="76"/>
      <c r="Z75" s="76"/>
      <c r="AA75" s="76"/>
      <c r="AB75" s="76"/>
      <c r="AC75" s="70"/>
    </row>
    <row r="76" spans="1:29" x14ac:dyDescent="0.25">
      <c r="A76" s="71"/>
      <c r="B76" s="71"/>
      <c r="C76" s="71"/>
      <c r="D76" s="71"/>
      <c r="E76" s="71"/>
      <c r="F76" s="71"/>
      <c r="G76" s="71"/>
      <c r="H76" s="71"/>
      <c r="I76" s="71"/>
      <c r="J76" s="71"/>
      <c r="K76" s="71"/>
      <c r="L76" s="71"/>
      <c r="M76" s="71"/>
      <c r="N76" s="72"/>
      <c r="P76" s="71"/>
      <c r="Q76" s="71"/>
      <c r="R76" s="71"/>
      <c r="S76" s="71"/>
      <c r="T76" s="71"/>
      <c r="U76" s="71"/>
      <c r="V76" s="71"/>
      <c r="W76" s="71"/>
      <c r="X76" s="71"/>
      <c r="Y76" s="71"/>
      <c r="Z76" s="71"/>
      <c r="AA76" s="71"/>
      <c r="AB76" s="71"/>
      <c r="AC76" s="72"/>
    </row>
    <row r="77" spans="1:29" x14ac:dyDescent="0.25">
      <c r="A77" s="72"/>
      <c r="B77" s="72"/>
      <c r="C77" s="72"/>
      <c r="D77" s="72"/>
      <c r="E77" s="72"/>
      <c r="F77" s="72"/>
      <c r="G77" s="72"/>
      <c r="H77" s="72"/>
      <c r="I77" s="72"/>
      <c r="J77" s="72"/>
      <c r="K77" s="72"/>
      <c r="L77" s="72"/>
      <c r="M77" s="72"/>
      <c r="N77" s="72"/>
      <c r="P77" s="72"/>
      <c r="Q77" s="72"/>
      <c r="R77" s="72"/>
      <c r="S77" s="72"/>
      <c r="T77" s="72"/>
      <c r="U77" s="72"/>
      <c r="V77" s="72"/>
      <c r="W77" s="72"/>
      <c r="X77" s="72"/>
      <c r="Y77" s="72"/>
      <c r="Z77" s="72"/>
      <c r="AA77" s="72"/>
      <c r="AB77" s="72"/>
      <c r="AC77" s="72"/>
    </row>
    <row r="78" spans="1:29" x14ac:dyDescent="0.25">
      <c r="A78" s="72"/>
      <c r="B78" s="72"/>
      <c r="C78" s="72"/>
      <c r="D78" s="72"/>
      <c r="E78" s="72"/>
      <c r="F78" s="72"/>
      <c r="G78" s="72"/>
      <c r="H78" s="72"/>
      <c r="I78" s="72"/>
      <c r="J78" s="72"/>
      <c r="K78" s="72"/>
      <c r="L78" s="72"/>
      <c r="M78" s="72"/>
      <c r="N78" s="72"/>
      <c r="P78" s="72"/>
      <c r="Q78" s="72"/>
      <c r="R78" s="72"/>
      <c r="S78" s="72"/>
      <c r="T78" s="72"/>
      <c r="U78" s="72"/>
      <c r="V78" s="72"/>
      <c r="W78" s="72"/>
      <c r="X78" s="72"/>
      <c r="Y78" s="72"/>
      <c r="Z78" s="72"/>
      <c r="AA78" s="72"/>
      <c r="AB78" s="72"/>
      <c r="AC78" s="72"/>
    </row>
    <row r="79" spans="1:29" x14ac:dyDescent="0.25">
      <c r="A79" s="72"/>
      <c r="B79" s="72"/>
      <c r="C79" s="172"/>
      <c r="D79" s="173"/>
      <c r="E79" s="174"/>
      <c r="F79" s="175"/>
      <c r="G79" s="176"/>
      <c r="H79" s="177"/>
      <c r="I79" s="72"/>
      <c r="J79" s="72"/>
      <c r="K79" s="72"/>
      <c r="L79" s="72"/>
      <c r="M79" s="72"/>
      <c r="N79" s="72"/>
      <c r="P79" s="72"/>
      <c r="Q79" s="72"/>
      <c r="R79" s="172"/>
      <c r="S79" s="173"/>
      <c r="T79" s="174"/>
      <c r="U79" s="175"/>
      <c r="V79" s="176"/>
      <c r="W79" s="177"/>
      <c r="X79" s="72"/>
      <c r="Y79" s="72"/>
      <c r="Z79" s="72"/>
      <c r="AA79" s="72"/>
      <c r="AB79" s="72"/>
      <c r="AC79" s="72"/>
    </row>
    <row r="80" spans="1:29" x14ac:dyDescent="0.25">
      <c r="A80" s="72"/>
      <c r="B80" s="72"/>
      <c r="C80" s="74">
        <v>0</v>
      </c>
      <c r="D80" s="75" t="s">
        <v>398</v>
      </c>
      <c r="E80" s="75" t="s">
        <v>399</v>
      </c>
      <c r="F80" s="75" t="s">
        <v>400</v>
      </c>
      <c r="G80" s="75" t="s">
        <v>401</v>
      </c>
      <c r="H80" s="74">
        <v>1</v>
      </c>
      <c r="I80" s="72"/>
      <c r="J80" s="72"/>
      <c r="K80" s="72"/>
      <c r="L80" s="72"/>
      <c r="M80" s="72"/>
      <c r="N80" s="72"/>
      <c r="P80" s="72"/>
      <c r="Q80" s="72"/>
      <c r="R80" s="74">
        <v>0</v>
      </c>
      <c r="S80" s="75" t="s">
        <v>398</v>
      </c>
      <c r="T80" s="75" t="s">
        <v>399</v>
      </c>
      <c r="U80" s="75" t="s">
        <v>400</v>
      </c>
      <c r="V80" s="75" t="s">
        <v>401</v>
      </c>
      <c r="W80" s="74">
        <v>1</v>
      </c>
      <c r="X80" s="72"/>
      <c r="Y80" s="72"/>
      <c r="Z80" s="72"/>
      <c r="AA80" s="72"/>
      <c r="AB80" s="72"/>
      <c r="AC80" s="72"/>
    </row>
    <row r="81" spans="1:29" x14ac:dyDescent="0.25">
      <c r="A81" s="72"/>
      <c r="B81" s="72"/>
      <c r="C81" s="72"/>
      <c r="D81" s="72"/>
      <c r="E81" s="72"/>
      <c r="F81" s="72"/>
      <c r="G81" s="72"/>
      <c r="H81" s="72"/>
      <c r="I81" s="72"/>
      <c r="J81" s="72"/>
      <c r="K81" s="72"/>
      <c r="L81" s="72"/>
      <c r="M81" s="72"/>
      <c r="N81" s="72"/>
      <c r="P81" s="72"/>
      <c r="Q81" s="72"/>
      <c r="R81" s="72"/>
      <c r="S81" s="72"/>
      <c r="T81" s="72"/>
      <c r="U81" s="72"/>
      <c r="V81" s="72"/>
      <c r="W81" s="72"/>
      <c r="X81" s="72"/>
      <c r="Y81" s="72"/>
      <c r="Z81" s="72"/>
      <c r="AA81" s="72"/>
      <c r="AB81" s="72"/>
      <c r="AC81" s="72"/>
    </row>
    <row r="82" spans="1:29" x14ac:dyDescent="0.25">
      <c r="A82" s="72"/>
      <c r="B82" s="72"/>
      <c r="C82" s="72"/>
      <c r="D82" s="72"/>
      <c r="E82" s="72"/>
      <c r="F82" s="72"/>
      <c r="G82" s="72"/>
      <c r="H82" s="72"/>
      <c r="I82" s="72"/>
      <c r="J82" s="72"/>
      <c r="K82" s="72"/>
      <c r="L82" s="72"/>
      <c r="M82" s="72"/>
      <c r="N82" s="72"/>
      <c r="P82" s="72"/>
      <c r="Q82" s="72"/>
      <c r="R82" s="72"/>
      <c r="S82" s="72"/>
      <c r="T82" s="72"/>
      <c r="U82" s="72"/>
      <c r="V82" s="72"/>
      <c r="W82" s="72"/>
      <c r="X82" s="72"/>
      <c r="Y82" s="72"/>
      <c r="Z82" s="72"/>
      <c r="AA82" s="72"/>
      <c r="AB82" s="72"/>
      <c r="AC82" s="72"/>
    </row>
    <row r="83" spans="1:29" x14ac:dyDescent="0.25">
      <c r="A83" s="72"/>
      <c r="B83" s="72"/>
      <c r="C83" s="72"/>
      <c r="D83" s="72"/>
      <c r="E83" s="72"/>
      <c r="F83" s="72"/>
      <c r="G83" s="72"/>
      <c r="H83" s="72"/>
      <c r="I83" s="72"/>
      <c r="J83" s="72"/>
      <c r="K83" s="72"/>
      <c r="L83" s="72"/>
      <c r="M83" s="72"/>
      <c r="N83" s="72"/>
      <c r="P83" s="72"/>
      <c r="Q83" s="72"/>
      <c r="R83" s="72"/>
      <c r="S83" s="72"/>
      <c r="T83" s="72"/>
      <c r="U83" s="72"/>
      <c r="V83" s="72"/>
      <c r="W83" s="72"/>
      <c r="X83" s="72"/>
      <c r="Y83" s="72"/>
      <c r="Z83" s="72"/>
      <c r="AA83" s="72"/>
      <c r="AB83" s="72"/>
      <c r="AC83" s="72"/>
    </row>
    <row r="84" spans="1:29" x14ac:dyDescent="0.25">
      <c r="A84" s="72"/>
      <c r="B84" s="72"/>
      <c r="C84" s="72"/>
      <c r="D84" s="72"/>
      <c r="E84" s="72"/>
      <c r="F84" s="72"/>
      <c r="G84" s="72"/>
      <c r="H84" s="72"/>
      <c r="I84" s="72"/>
      <c r="J84" s="72"/>
      <c r="K84" s="72"/>
      <c r="L84" s="72"/>
      <c r="M84" s="72"/>
      <c r="N84" s="72"/>
      <c r="P84" s="72"/>
      <c r="Q84" s="72"/>
      <c r="R84" s="72"/>
      <c r="S84" s="72"/>
      <c r="T84" s="72"/>
      <c r="U84" s="72"/>
      <c r="V84" s="72"/>
      <c r="W84" s="72"/>
      <c r="X84" s="72"/>
      <c r="Y84" s="72"/>
      <c r="Z84" s="72"/>
      <c r="AA84" s="72"/>
      <c r="AB84" s="72"/>
      <c r="AC84" s="72"/>
    </row>
    <row r="85" spans="1:29" x14ac:dyDescent="0.25">
      <c r="A85" s="72"/>
      <c r="B85" s="86"/>
      <c r="C85" s="87"/>
      <c r="D85" s="86"/>
      <c r="E85" s="86"/>
      <c r="F85" s="86"/>
      <c r="G85" s="86"/>
      <c r="H85" s="86"/>
      <c r="I85" s="86"/>
      <c r="J85" s="86"/>
      <c r="K85" s="86"/>
      <c r="L85" s="86"/>
      <c r="M85" s="86"/>
      <c r="N85" s="86"/>
      <c r="P85" s="72"/>
      <c r="Q85" s="86"/>
      <c r="R85" s="87"/>
      <c r="S85" s="86"/>
      <c r="T85" s="86"/>
      <c r="U85" s="86"/>
      <c r="V85" s="86"/>
      <c r="W85" s="86"/>
      <c r="X85" s="86"/>
      <c r="Y85" s="86"/>
      <c r="Z85" s="86"/>
      <c r="AA85" s="86"/>
      <c r="AB85" s="86"/>
      <c r="AC85" s="86"/>
    </row>
    <row r="86" spans="1:29" x14ac:dyDescent="0.25">
      <c r="A86" s="72"/>
      <c r="B86" s="86"/>
      <c r="C86" s="86"/>
      <c r="D86" s="86"/>
      <c r="E86" s="86"/>
      <c r="F86" s="86"/>
      <c r="G86" s="86"/>
      <c r="H86" s="86"/>
      <c r="I86" s="86"/>
      <c r="J86" s="86"/>
      <c r="K86" s="86"/>
      <c r="L86" s="86"/>
      <c r="M86" s="86"/>
      <c r="N86" s="86"/>
      <c r="P86" s="72"/>
      <c r="Q86" s="86"/>
      <c r="R86" s="86"/>
      <c r="S86" s="86"/>
      <c r="T86" s="86"/>
      <c r="U86" s="86"/>
      <c r="V86" s="86"/>
      <c r="W86" s="86"/>
      <c r="X86" s="86"/>
      <c r="Y86" s="86"/>
      <c r="Z86" s="86"/>
      <c r="AA86" s="86"/>
      <c r="AB86" s="86"/>
      <c r="AC86" s="86"/>
    </row>
    <row r="87" spans="1:29" x14ac:dyDescent="0.25">
      <c r="A87" s="72"/>
      <c r="B87" s="86"/>
      <c r="C87" s="86"/>
      <c r="D87" s="86"/>
      <c r="E87" s="86"/>
      <c r="F87" s="86"/>
      <c r="G87" s="86"/>
      <c r="H87" s="86"/>
      <c r="I87" s="86"/>
      <c r="J87" s="86"/>
      <c r="K87" s="86"/>
      <c r="L87" s="86"/>
      <c r="M87" s="86"/>
      <c r="N87" s="86"/>
      <c r="P87" s="72"/>
      <c r="Q87" s="86"/>
      <c r="R87" s="86"/>
      <c r="S87" s="86"/>
      <c r="T87" s="86"/>
      <c r="U87" s="86"/>
      <c r="V87" s="86"/>
      <c r="W87" s="86"/>
      <c r="X87" s="86"/>
      <c r="Y87" s="86"/>
      <c r="Z87" s="86"/>
      <c r="AA87" s="86"/>
      <c r="AB87" s="86"/>
      <c r="AC87" s="86"/>
    </row>
    <row r="88" spans="1:29" x14ac:dyDescent="0.25">
      <c r="A88" s="72"/>
      <c r="B88" s="88"/>
      <c r="C88" s="86"/>
      <c r="D88" s="86"/>
      <c r="E88" s="86"/>
      <c r="F88" s="86"/>
      <c r="G88" s="86"/>
      <c r="H88" s="86"/>
      <c r="I88" s="86"/>
      <c r="J88" s="86"/>
      <c r="K88" s="86"/>
      <c r="L88" s="86"/>
      <c r="M88" s="86"/>
      <c r="N88" s="86"/>
      <c r="P88" s="72"/>
      <c r="Q88" s="86"/>
      <c r="R88" s="86"/>
      <c r="S88" s="86"/>
      <c r="T88" s="86"/>
      <c r="U88" s="86"/>
      <c r="V88" s="86"/>
      <c r="W88" s="86"/>
      <c r="X88" s="86"/>
      <c r="Y88" s="86"/>
      <c r="Z88" s="86"/>
      <c r="AA88" s="86"/>
      <c r="AB88" s="86"/>
      <c r="AC88" s="86"/>
    </row>
    <row r="89" spans="1:29" x14ac:dyDescent="0.25">
      <c r="A89" s="72"/>
      <c r="B89" s="88"/>
      <c r="C89" s="86"/>
      <c r="D89" s="86"/>
      <c r="E89" s="86"/>
      <c r="F89" s="86"/>
      <c r="G89" s="86"/>
      <c r="H89" s="86"/>
      <c r="I89" s="86"/>
      <c r="J89" s="86"/>
      <c r="K89" s="86"/>
      <c r="L89" s="86"/>
      <c r="M89" s="86"/>
      <c r="N89" s="86"/>
      <c r="P89" s="72"/>
      <c r="Q89" s="86"/>
      <c r="R89" s="86"/>
      <c r="S89" s="86"/>
      <c r="T89" s="86"/>
      <c r="U89" s="86"/>
      <c r="V89" s="86"/>
      <c r="W89" s="86"/>
      <c r="X89" s="86"/>
      <c r="Y89" s="86"/>
      <c r="Z89" s="86"/>
      <c r="AA89" s="86"/>
      <c r="AB89" s="86"/>
      <c r="AC89" s="86"/>
    </row>
    <row r="90" spans="1:29" x14ac:dyDescent="0.25">
      <c r="A90" s="72"/>
      <c r="B90" s="88"/>
      <c r="C90" s="86"/>
      <c r="D90" s="86"/>
      <c r="E90" s="86"/>
      <c r="F90" s="86"/>
      <c r="G90" s="86"/>
      <c r="H90" s="86"/>
      <c r="I90" s="86"/>
      <c r="J90" s="86"/>
      <c r="K90" s="86"/>
      <c r="L90" s="86"/>
      <c r="M90" s="86"/>
      <c r="N90" s="86"/>
      <c r="P90" s="72"/>
      <c r="Q90" s="86"/>
      <c r="R90" s="86"/>
      <c r="S90" s="86"/>
      <c r="T90" s="86"/>
      <c r="U90" s="86"/>
      <c r="V90" s="86"/>
      <c r="W90" s="86"/>
      <c r="X90" s="86"/>
      <c r="Y90" s="86"/>
      <c r="Z90" s="86"/>
      <c r="AA90" s="86"/>
      <c r="AB90" s="86"/>
      <c r="AC90" s="86"/>
    </row>
    <row r="91" spans="1:29" x14ac:dyDescent="0.25">
      <c r="A91" s="72"/>
      <c r="B91" s="88"/>
      <c r="C91" s="86"/>
      <c r="D91" s="86"/>
      <c r="E91" s="86"/>
      <c r="F91" s="86"/>
      <c r="G91" s="86"/>
      <c r="H91" s="86"/>
      <c r="I91" s="86"/>
      <c r="J91" s="86"/>
      <c r="K91" s="86"/>
      <c r="L91" s="86"/>
      <c r="M91" s="86"/>
      <c r="N91" s="86"/>
      <c r="P91" s="72"/>
      <c r="Q91" s="86"/>
      <c r="R91" s="86"/>
      <c r="S91" s="86"/>
      <c r="T91" s="86"/>
      <c r="U91" s="86"/>
      <c r="V91" s="86"/>
      <c r="W91" s="86"/>
      <c r="X91" s="86"/>
      <c r="Y91" s="86"/>
      <c r="Z91" s="86"/>
      <c r="AA91" s="86"/>
      <c r="AB91" s="86"/>
      <c r="AC91" s="86"/>
    </row>
    <row r="92" spans="1:29" x14ac:dyDescent="0.25">
      <c r="A92" s="72"/>
      <c r="B92" s="88"/>
      <c r="C92" s="86"/>
      <c r="D92" s="86"/>
      <c r="E92" s="86"/>
      <c r="F92" s="86"/>
      <c r="G92" s="86"/>
      <c r="H92" s="86"/>
      <c r="I92" s="86"/>
      <c r="J92" s="86"/>
      <c r="K92" s="86"/>
      <c r="L92" s="86"/>
      <c r="M92" s="86"/>
      <c r="N92" s="86"/>
      <c r="P92" s="72"/>
      <c r="Q92" s="86"/>
      <c r="R92" s="86"/>
      <c r="S92" s="86"/>
      <c r="T92" s="86"/>
      <c r="U92" s="86"/>
      <c r="V92" s="86"/>
      <c r="W92" s="86"/>
      <c r="X92" s="86"/>
      <c r="Y92" s="86"/>
      <c r="Z92" s="86"/>
      <c r="AA92" s="86"/>
      <c r="AB92" s="86"/>
      <c r="AC92" s="86"/>
    </row>
    <row r="93" spans="1:29" x14ac:dyDescent="0.25">
      <c r="A93" s="72"/>
      <c r="B93" s="88"/>
      <c r="C93" s="86"/>
      <c r="D93" s="86"/>
      <c r="E93" s="86"/>
      <c r="F93" s="86"/>
      <c r="G93" s="86"/>
      <c r="H93" s="86"/>
      <c r="I93" s="86"/>
      <c r="J93" s="86"/>
      <c r="K93" s="86"/>
      <c r="L93" s="86"/>
      <c r="M93" s="86"/>
      <c r="N93" s="86"/>
      <c r="P93" s="72"/>
      <c r="Q93" s="86"/>
      <c r="R93" s="86"/>
      <c r="S93" s="86"/>
      <c r="T93" s="86"/>
      <c r="U93" s="86"/>
      <c r="V93" s="86"/>
      <c r="W93" s="86"/>
      <c r="X93" s="86"/>
      <c r="Y93" s="86"/>
      <c r="Z93" s="86"/>
      <c r="AA93" s="86"/>
      <c r="AB93" s="86"/>
      <c r="AC93" s="86"/>
    </row>
    <row r="94" spans="1:29" x14ac:dyDescent="0.25">
      <c r="A94" s="72"/>
      <c r="B94" s="88"/>
      <c r="C94" s="86"/>
      <c r="D94" s="86"/>
      <c r="E94" s="86"/>
      <c r="F94" s="86"/>
      <c r="G94" s="86"/>
      <c r="H94" s="86"/>
      <c r="I94" s="86"/>
      <c r="J94" s="86"/>
      <c r="K94" s="86"/>
      <c r="L94" s="86"/>
      <c r="M94" s="86"/>
      <c r="N94" s="86"/>
      <c r="P94" s="72"/>
      <c r="Q94" s="86"/>
      <c r="R94" s="86"/>
      <c r="S94" s="86"/>
      <c r="T94" s="86"/>
      <c r="U94" s="86"/>
      <c r="V94" s="86"/>
      <c r="W94" s="86"/>
      <c r="X94" s="86"/>
      <c r="Y94" s="86"/>
      <c r="Z94" s="86"/>
      <c r="AA94" s="86"/>
      <c r="AB94" s="86"/>
      <c r="AC94" s="86"/>
    </row>
    <row r="95" spans="1:29" x14ac:dyDescent="0.25">
      <c r="A95" s="72"/>
      <c r="B95" s="88"/>
      <c r="C95" s="86"/>
      <c r="D95" s="86"/>
      <c r="E95" s="86"/>
      <c r="F95" s="86"/>
      <c r="G95" s="86"/>
      <c r="H95" s="86"/>
      <c r="I95" s="86"/>
      <c r="J95" s="86"/>
      <c r="K95" s="86"/>
      <c r="L95" s="86"/>
      <c r="M95" s="86"/>
      <c r="N95" s="86"/>
      <c r="P95" s="72"/>
      <c r="Q95" s="86"/>
      <c r="R95" s="86"/>
      <c r="S95" s="86"/>
      <c r="T95" s="86"/>
      <c r="U95" s="86"/>
      <c r="V95" s="86"/>
      <c r="W95" s="86"/>
      <c r="X95" s="86"/>
      <c r="Y95" s="86"/>
      <c r="Z95" s="86"/>
      <c r="AA95" s="86"/>
      <c r="AB95" s="86"/>
      <c r="AC95" s="86"/>
    </row>
    <row r="96" spans="1:29" x14ac:dyDescent="0.25">
      <c r="A96" s="72"/>
      <c r="B96" s="88"/>
      <c r="C96" s="86"/>
      <c r="D96" s="86"/>
      <c r="E96" s="86"/>
      <c r="F96" s="86"/>
      <c r="G96" s="86"/>
      <c r="H96" s="86"/>
      <c r="I96" s="86"/>
      <c r="J96" s="86"/>
      <c r="K96" s="86"/>
      <c r="L96" s="86"/>
      <c r="M96" s="86"/>
      <c r="N96" s="86"/>
      <c r="P96" s="72"/>
      <c r="Q96" s="86"/>
      <c r="R96" s="86"/>
      <c r="S96" s="86"/>
      <c r="T96" s="86"/>
      <c r="U96" s="86"/>
      <c r="V96" s="86"/>
      <c r="W96" s="86"/>
      <c r="X96" s="86"/>
      <c r="Y96" s="86"/>
      <c r="Z96" s="86"/>
      <c r="AA96" s="86"/>
      <c r="AB96" s="86"/>
      <c r="AC96" s="86"/>
    </row>
    <row r="97" spans="1:29" x14ac:dyDescent="0.25">
      <c r="A97" s="72"/>
      <c r="B97" s="88"/>
      <c r="C97" s="86"/>
      <c r="D97" s="86"/>
      <c r="E97" s="86"/>
      <c r="F97" s="86"/>
      <c r="G97" s="86"/>
      <c r="H97" s="86"/>
      <c r="I97" s="86"/>
      <c r="J97" s="86"/>
      <c r="K97" s="86"/>
      <c r="L97" s="86"/>
      <c r="M97" s="86"/>
      <c r="N97" s="86"/>
      <c r="P97" s="72"/>
      <c r="Q97" s="86"/>
      <c r="R97" s="86"/>
      <c r="S97" s="86"/>
      <c r="T97" s="86"/>
      <c r="U97" s="86"/>
      <c r="V97" s="86"/>
      <c r="W97" s="86"/>
      <c r="X97" s="86"/>
      <c r="Y97" s="86"/>
      <c r="Z97" s="86"/>
      <c r="AA97" s="86"/>
      <c r="AB97" s="86"/>
      <c r="AC97" s="86"/>
    </row>
    <row r="98" spans="1:29" x14ac:dyDescent="0.25">
      <c r="A98" s="72"/>
      <c r="B98" s="88"/>
      <c r="C98" s="86"/>
      <c r="D98" s="86"/>
      <c r="E98" s="86"/>
      <c r="F98" s="86"/>
      <c r="G98" s="86"/>
      <c r="H98" s="86"/>
      <c r="I98" s="86"/>
      <c r="J98" s="86"/>
      <c r="K98" s="86"/>
      <c r="L98" s="86"/>
      <c r="M98" s="86"/>
      <c r="N98" s="86"/>
      <c r="P98" s="72"/>
      <c r="Q98" s="86"/>
      <c r="R98" s="86"/>
      <c r="S98" s="86"/>
      <c r="T98" s="86"/>
      <c r="U98" s="86"/>
      <c r="V98" s="86"/>
      <c r="W98" s="86"/>
      <c r="X98" s="86"/>
      <c r="Y98" s="86"/>
      <c r="Z98" s="86"/>
      <c r="AA98" s="86"/>
      <c r="AB98" s="86"/>
      <c r="AC98" s="86"/>
    </row>
    <row r="99" spans="1:29" x14ac:dyDescent="0.25">
      <c r="A99" s="72"/>
      <c r="B99" s="88"/>
      <c r="C99" s="86"/>
      <c r="D99" s="86"/>
      <c r="E99" s="86"/>
      <c r="F99" s="86"/>
      <c r="G99" s="86"/>
      <c r="H99" s="86"/>
      <c r="I99" s="86"/>
      <c r="J99" s="86"/>
      <c r="K99" s="86"/>
      <c r="L99" s="86"/>
      <c r="M99" s="86"/>
      <c r="N99" s="86"/>
      <c r="P99" s="72"/>
      <c r="Q99" s="86"/>
      <c r="R99" s="86"/>
      <c r="S99" s="86"/>
      <c r="T99" s="86"/>
      <c r="U99" s="86"/>
      <c r="V99" s="86"/>
      <c r="W99" s="86"/>
      <c r="X99" s="86"/>
      <c r="Y99" s="86"/>
      <c r="Z99" s="86"/>
      <c r="AA99" s="86"/>
      <c r="AB99" s="86"/>
      <c r="AC99" s="86"/>
    </row>
    <row r="100" spans="1:29" x14ac:dyDescent="0.25">
      <c r="A100" s="72"/>
      <c r="B100" s="86"/>
      <c r="C100" s="86"/>
      <c r="D100" s="86"/>
      <c r="E100" s="86"/>
      <c r="F100" s="86"/>
      <c r="G100" s="86"/>
      <c r="H100" s="86"/>
      <c r="I100" s="86"/>
      <c r="J100" s="86"/>
      <c r="K100" s="86"/>
      <c r="L100" s="86"/>
      <c r="M100" s="86"/>
      <c r="N100" s="86"/>
      <c r="P100" s="72"/>
      <c r="Q100" s="86"/>
      <c r="R100" s="86"/>
      <c r="S100" s="86"/>
      <c r="T100" s="86"/>
      <c r="U100" s="86"/>
      <c r="V100" s="86"/>
      <c r="W100" s="86"/>
      <c r="X100" s="86"/>
      <c r="Y100" s="86"/>
      <c r="Z100" s="86"/>
      <c r="AA100" s="86"/>
      <c r="AB100" s="86"/>
      <c r="AC100" s="86"/>
    </row>
    <row r="101" spans="1:29" x14ac:dyDescent="0.25">
      <c r="A101" s="72"/>
      <c r="B101" s="86"/>
      <c r="C101" s="86"/>
      <c r="D101" s="86"/>
      <c r="E101" s="86"/>
      <c r="F101" s="86"/>
      <c r="G101" s="86"/>
      <c r="H101" s="86"/>
      <c r="I101" s="86"/>
      <c r="J101" s="86"/>
      <c r="K101" s="86"/>
      <c r="L101" s="86"/>
      <c r="M101" s="86"/>
      <c r="N101" s="86"/>
      <c r="P101" s="72"/>
      <c r="Q101" s="86"/>
      <c r="R101" s="86"/>
      <c r="S101" s="86"/>
      <c r="T101" s="86"/>
      <c r="U101" s="86"/>
      <c r="V101" s="86"/>
      <c r="W101" s="86"/>
      <c r="X101" s="86"/>
      <c r="Y101" s="86"/>
      <c r="Z101" s="86"/>
      <c r="AA101" s="86"/>
      <c r="AB101" s="86"/>
      <c r="AC101" s="86"/>
    </row>
    <row r="102" spans="1:29" x14ac:dyDescent="0.25">
      <c r="A102" s="72"/>
      <c r="B102" s="86"/>
      <c r="C102" s="86"/>
      <c r="D102" s="86"/>
      <c r="E102" s="86"/>
      <c r="F102" s="86"/>
      <c r="G102" s="86"/>
      <c r="H102" s="86"/>
      <c r="I102" s="86"/>
      <c r="J102" s="86"/>
      <c r="K102" s="86"/>
      <c r="L102" s="86"/>
      <c r="M102" s="86"/>
      <c r="N102" s="86"/>
      <c r="P102" s="72"/>
      <c r="Q102" s="86"/>
      <c r="R102" s="86"/>
      <c r="S102" s="86"/>
      <c r="T102" s="86"/>
      <c r="U102" s="86"/>
      <c r="V102" s="86"/>
      <c r="W102" s="86"/>
      <c r="X102" s="86"/>
      <c r="Y102" s="86"/>
      <c r="Z102" s="86"/>
      <c r="AA102" s="86"/>
      <c r="AB102" s="86"/>
      <c r="AC102" s="86"/>
    </row>
    <row r="103" spans="1:29" x14ac:dyDescent="0.25">
      <c r="A103" s="72"/>
      <c r="B103" s="86"/>
      <c r="C103" s="86"/>
      <c r="D103" s="86"/>
      <c r="E103" s="86"/>
      <c r="F103" s="86"/>
      <c r="G103" s="86"/>
      <c r="H103" s="86"/>
      <c r="I103" s="86"/>
      <c r="J103" s="86"/>
      <c r="K103" s="86"/>
      <c r="L103" s="86"/>
      <c r="M103" s="86"/>
      <c r="N103" s="86"/>
      <c r="P103" s="72"/>
      <c r="Q103" s="86"/>
      <c r="R103" s="86"/>
      <c r="S103" s="86"/>
      <c r="T103" s="86"/>
      <c r="U103" s="86"/>
      <c r="V103" s="86"/>
      <c r="W103" s="86"/>
      <c r="X103" s="86"/>
      <c r="Y103" s="86"/>
      <c r="Z103" s="86"/>
      <c r="AA103" s="86"/>
      <c r="AB103" s="86"/>
      <c r="AC103" s="86"/>
    </row>
    <row r="104" spans="1:29" x14ac:dyDescent="0.25">
      <c r="A104" s="72"/>
      <c r="B104" s="86"/>
      <c r="C104" s="86"/>
      <c r="D104" s="86"/>
      <c r="E104" s="86"/>
      <c r="F104" s="86"/>
      <c r="G104" s="86"/>
      <c r="H104" s="86"/>
      <c r="I104" s="86"/>
      <c r="J104" s="86"/>
      <c r="K104" s="86"/>
      <c r="L104" s="86"/>
      <c r="M104" s="86"/>
      <c r="N104" s="86"/>
      <c r="P104" s="72"/>
      <c r="Q104" s="86"/>
      <c r="R104" s="86"/>
      <c r="S104" s="86"/>
      <c r="T104" s="86"/>
      <c r="U104" s="86"/>
      <c r="V104" s="86"/>
      <c r="W104" s="86"/>
      <c r="X104" s="86"/>
      <c r="Y104" s="86"/>
      <c r="Z104" s="86"/>
      <c r="AA104" s="86"/>
      <c r="AB104" s="86"/>
      <c r="AC104" s="86"/>
    </row>
    <row r="105" spans="1:29" x14ac:dyDescent="0.25">
      <c r="A105" s="72"/>
      <c r="B105" s="86"/>
      <c r="C105" s="86"/>
      <c r="D105" s="86"/>
      <c r="E105" s="86"/>
      <c r="F105" s="86"/>
      <c r="G105" s="86"/>
      <c r="H105" s="86"/>
      <c r="I105" s="86"/>
      <c r="J105" s="86"/>
      <c r="K105" s="86"/>
      <c r="L105" s="86"/>
      <c r="M105" s="86"/>
      <c r="N105" s="86"/>
      <c r="P105" s="72"/>
      <c r="Q105" s="86"/>
      <c r="R105" s="86"/>
      <c r="S105" s="86"/>
      <c r="T105" s="86"/>
      <c r="U105" s="86"/>
      <c r="V105" s="86"/>
      <c r="W105" s="86"/>
      <c r="X105" s="86"/>
      <c r="Y105" s="86"/>
      <c r="Z105" s="86"/>
      <c r="AA105" s="86"/>
      <c r="AB105" s="86"/>
      <c r="AC105" s="86"/>
    </row>
    <row r="106" spans="1:29" x14ac:dyDescent="0.25">
      <c r="A106" s="72"/>
      <c r="B106" s="86"/>
      <c r="C106" s="86"/>
      <c r="D106" s="86"/>
      <c r="E106" s="86"/>
      <c r="F106" s="86"/>
      <c r="G106" s="86"/>
      <c r="H106" s="86"/>
      <c r="I106" s="86"/>
      <c r="J106" s="86"/>
      <c r="K106" s="86"/>
      <c r="L106" s="86"/>
      <c r="M106" s="86"/>
      <c r="N106" s="86"/>
      <c r="P106" s="72"/>
      <c r="Q106" s="86"/>
      <c r="R106" s="86"/>
      <c r="S106" s="86"/>
      <c r="T106" s="86"/>
      <c r="U106" s="86"/>
      <c r="V106" s="86"/>
      <c r="W106" s="86"/>
      <c r="X106" s="86"/>
      <c r="Y106" s="86"/>
      <c r="Z106" s="86"/>
      <c r="AA106" s="86"/>
      <c r="AB106" s="86"/>
      <c r="AC106" s="86"/>
    </row>
    <row r="107" spans="1:29" x14ac:dyDescent="0.25">
      <c r="A107" s="72"/>
      <c r="B107" s="86"/>
      <c r="C107" s="86"/>
      <c r="D107" s="86"/>
      <c r="E107" s="86"/>
      <c r="F107" s="86"/>
      <c r="G107" s="86"/>
      <c r="H107" s="86"/>
      <c r="I107" s="86"/>
      <c r="J107" s="86"/>
      <c r="K107" s="86"/>
      <c r="L107" s="86"/>
      <c r="M107" s="86"/>
      <c r="N107" s="86"/>
      <c r="P107" s="72"/>
      <c r="Q107" s="86"/>
      <c r="R107" s="86"/>
      <c r="S107" s="86"/>
      <c r="T107" s="86"/>
      <c r="U107" s="86"/>
      <c r="V107" s="86"/>
      <c r="W107" s="86"/>
      <c r="X107" s="86"/>
      <c r="Y107" s="86"/>
      <c r="Z107" s="86"/>
      <c r="AA107" s="86"/>
      <c r="AB107" s="86"/>
      <c r="AC107" s="86"/>
    </row>
    <row r="108" spans="1:29" x14ac:dyDescent="0.25">
      <c r="A108" s="72"/>
      <c r="B108" s="86"/>
      <c r="C108" s="86"/>
      <c r="D108" s="86"/>
      <c r="E108" s="86"/>
      <c r="F108" s="86"/>
      <c r="G108" s="86"/>
      <c r="H108" s="86"/>
      <c r="I108" s="86"/>
      <c r="J108" s="86"/>
      <c r="K108" s="86"/>
      <c r="L108" s="86"/>
      <c r="M108" s="86"/>
      <c r="N108" s="86"/>
      <c r="P108" s="72"/>
      <c r="Q108" s="86"/>
      <c r="R108" s="86"/>
      <c r="S108" s="86"/>
      <c r="T108" s="86"/>
      <c r="U108" s="86"/>
      <c r="V108" s="86"/>
      <c r="W108" s="86"/>
      <c r="X108" s="86"/>
      <c r="Y108" s="86"/>
      <c r="Z108" s="86"/>
      <c r="AA108" s="86"/>
      <c r="AB108" s="86"/>
      <c r="AC108" s="86"/>
    </row>
    <row r="109" spans="1:29" x14ac:dyDescent="0.25">
      <c r="A109" s="72"/>
      <c r="B109" s="86"/>
      <c r="C109" s="86"/>
      <c r="D109" s="86"/>
      <c r="E109" s="86"/>
      <c r="F109" s="86"/>
      <c r="G109" s="86"/>
      <c r="H109" s="86"/>
      <c r="I109" s="86"/>
      <c r="J109" s="86"/>
      <c r="K109" s="86"/>
      <c r="L109" s="86"/>
      <c r="M109" s="86"/>
      <c r="N109" s="86"/>
      <c r="P109" s="72"/>
      <c r="Q109" s="86"/>
      <c r="R109" s="86"/>
      <c r="S109" s="86"/>
      <c r="T109" s="86"/>
      <c r="U109" s="86"/>
      <c r="V109" s="86"/>
      <c r="W109" s="86"/>
      <c r="X109" s="86"/>
      <c r="Y109" s="86"/>
      <c r="Z109" s="86"/>
      <c r="AA109" s="86"/>
      <c r="AB109" s="86"/>
      <c r="AC109" s="86"/>
    </row>
    <row r="110" spans="1:29" x14ac:dyDescent="0.25">
      <c r="A110" s="72"/>
      <c r="B110" s="86"/>
      <c r="C110" s="86"/>
      <c r="D110" s="86"/>
      <c r="E110" s="86"/>
      <c r="F110" s="86"/>
      <c r="G110" s="86"/>
      <c r="H110" s="86"/>
      <c r="I110" s="86"/>
      <c r="J110" s="86"/>
      <c r="K110" s="86"/>
      <c r="L110" s="86"/>
      <c r="M110" s="86"/>
      <c r="N110" s="86"/>
      <c r="P110" s="72"/>
      <c r="Q110" s="86"/>
      <c r="R110" s="86"/>
      <c r="S110" s="86"/>
      <c r="T110" s="86"/>
      <c r="U110" s="86"/>
      <c r="V110" s="86"/>
      <c r="W110" s="86"/>
      <c r="X110" s="86"/>
      <c r="Y110" s="86"/>
      <c r="Z110" s="86"/>
      <c r="AA110" s="86"/>
      <c r="AB110" s="86"/>
      <c r="AC110" s="86"/>
    </row>
    <row r="111" spans="1:29" x14ac:dyDescent="0.25">
      <c r="A111" s="72"/>
      <c r="B111" s="86"/>
      <c r="C111" s="86"/>
      <c r="D111" s="86"/>
      <c r="E111" s="86"/>
      <c r="F111" s="86"/>
      <c r="G111" s="86"/>
      <c r="H111" s="86"/>
      <c r="I111" s="86"/>
      <c r="J111" s="86"/>
      <c r="K111" s="86"/>
      <c r="L111" s="86"/>
      <c r="M111" s="86"/>
      <c r="N111" s="86"/>
      <c r="P111" s="72"/>
      <c r="Q111" s="86"/>
      <c r="R111" s="86"/>
      <c r="S111" s="86"/>
      <c r="T111" s="86"/>
      <c r="U111" s="86"/>
      <c r="V111" s="86"/>
      <c r="W111" s="86"/>
      <c r="X111" s="86"/>
      <c r="Y111" s="86"/>
      <c r="Z111" s="86"/>
      <c r="AA111" s="86"/>
      <c r="AB111" s="86"/>
      <c r="AC111" s="86"/>
    </row>
    <row r="112" spans="1:29" x14ac:dyDescent="0.25">
      <c r="A112" s="72"/>
      <c r="B112" s="86"/>
      <c r="C112" s="86"/>
      <c r="D112" s="86"/>
      <c r="E112" s="86"/>
      <c r="F112" s="86"/>
      <c r="G112" s="86"/>
      <c r="H112" s="86"/>
      <c r="I112" s="86"/>
      <c r="J112" s="86"/>
      <c r="K112" s="86"/>
      <c r="L112" s="86"/>
      <c r="M112" s="86"/>
      <c r="N112" s="86"/>
      <c r="P112" s="72"/>
      <c r="Q112" s="86"/>
      <c r="R112" s="86"/>
      <c r="S112" s="86"/>
      <c r="T112" s="86"/>
      <c r="U112" s="86"/>
      <c r="V112" s="86"/>
      <c r="W112" s="86"/>
      <c r="X112" s="86"/>
      <c r="Y112" s="86"/>
      <c r="Z112" s="86"/>
      <c r="AA112" s="86"/>
      <c r="AB112" s="86"/>
      <c r="AC112" s="86"/>
    </row>
    <row r="113" spans="1:29" x14ac:dyDescent="0.25">
      <c r="A113" s="72"/>
      <c r="B113" s="86"/>
      <c r="C113" s="86"/>
      <c r="D113" s="86"/>
      <c r="E113" s="86"/>
      <c r="F113" s="86"/>
      <c r="G113" s="86"/>
      <c r="H113" s="86"/>
      <c r="I113" s="86"/>
      <c r="J113" s="86"/>
      <c r="K113" s="86"/>
      <c r="L113" s="86"/>
      <c r="M113" s="86"/>
      <c r="N113" s="86"/>
      <c r="P113" s="72"/>
      <c r="Q113" s="86"/>
      <c r="R113" s="86"/>
      <c r="S113" s="86"/>
      <c r="T113" s="86"/>
      <c r="U113" s="86"/>
      <c r="V113" s="86"/>
      <c r="W113" s="86"/>
      <c r="X113" s="86"/>
      <c r="Y113" s="86"/>
      <c r="Z113" s="86"/>
      <c r="AA113" s="86"/>
      <c r="AB113" s="86"/>
      <c r="AC113" s="86"/>
    </row>
    <row r="114" spans="1:29" x14ac:dyDescent="0.25">
      <c r="A114" s="72"/>
      <c r="B114" s="86"/>
      <c r="C114" s="86"/>
      <c r="D114" s="86"/>
      <c r="E114" s="86"/>
      <c r="F114" s="86"/>
      <c r="G114" s="86"/>
      <c r="H114" s="86"/>
      <c r="I114" s="86"/>
      <c r="J114" s="86"/>
      <c r="K114" s="86"/>
      <c r="L114" s="86"/>
      <c r="M114" s="86"/>
      <c r="N114" s="86"/>
      <c r="P114" s="72"/>
      <c r="Q114" s="86"/>
      <c r="R114" s="86"/>
      <c r="S114" s="86"/>
      <c r="T114" s="86"/>
      <c r="U114" s="86"/>
      <c r="V114" s="86"/>
      <c r="W114" s="86"/>
      <c r="X114" s="86"/>
      <c r="Y114" s="86"/>
      <c r="Z114" s="86"/>
      <c r="AA114" s="86"/>
      <c r="AB114" s="86"/>
      <c r="AC114" s="86"/>
    </row>
    <row r="115" spans="1:29" x14ac:dyDescent="0.25">
      <c r="A115" s="72"/>
      <c r="B115" s="86"/>
      <c r="C115" s="86"/>
      <c r="D115" s="86"/>
      <c r="E115" s="86"/>
      <c r="F115" s="86"/>
      <c r="G115" s="86"/>
      <c r="H115" s="86"/>
      <c r="I115" s="86"/>
      <c r="J115" s="86"/>
      <c r="K115" s="86"/>
      <c r="L115" s="86"/>
      <c r="M115" s="86"/>
      <c r="N115" s="86"/>
      <c r="P115" s="72"/>
      <c r="Q115" s="86"/>
      <c r="R115" s="86"/>
      <c r="S115" s="86"/>
      <c r="T115" s="86"/>
      <c r="U115" s="86"/>
      <c r="V115" s="86"/>
      <c r="W115" s="86"/>
      <c r="X115" s="86"/>
      <c r="Y115" s="86"/>
      <c r="Z115" s="86"/>
      <c r="AA115" s="86"/>
      <c r="AB115" s="86"/>
      <c r="AC115" s="86"/>
    </row>
    <row r="116" spans="1:29" x14ac:dyDescent="0.25">
      <c r="A116" s="72"/>
      <c r="B116" s="86"/>
      <c r="C116" s="86"/>
      <c r="D116" s="86"/>
      <c r="E116" s="86"/>
      <c r="F116" s="86"/>
      <c r="G116" s="86"/>
      <c r="H116" s="86"/>
      <c r="I116" s="86"/>
      <c r="J116" s="86"/>
      <c r="K116" s="86"/>
      <c r="L116" s="86"/>
      <c r="M116" s="86"/>
      <c r="N116" s="86"/>
      <c r="P116" s="72"/>
      <c r="Q116" s="86"/>
      <c r="R116" s="86"/>
      <c r="S116" s="86"/>
      <c r="T116" s="86"/>
      <c r="U116" s="86"/>
      <c r="V116" s="86"/>
      <c r="W116" s="86"/>
      <c r="X116" s="86"/>
      <c r="Y116" s="86"/>
      <c r="Z116" s="86"/>
      <c r="AA116" s="86"/>
      <c r="AB116" s="86"/>
      <c r="AC116" s="86"/>
    </row>
    <row r="117" spans="1:29" x14ac:dyDescent="0.25">
      <c r="A117" s="72"/>
      <c r="B117" s="86"/>
      <c r="C117" s="86"/>
      <c r="D117" s="86"/>
      <c r="E117" s="86"/>
      <c r="F117" s="86"/>
      <c r="G117" s="86"/>
      <c r="H117" s="86"/>
      <c r="I117" s="86"/>
      <c r="J117" s="86"/>
      <c r="K117" s="86"/>
      <c r="L117" s="86"/>
      <c r="M117" s="86"/>
      <c r="N117" s="86"/>
      <c r="P117" s="72"/>
      <c r="Q117" s="86"/>
      <c r="R117" s="86"/>
      <c r="S117" s="86"/>
      <c r="T117" s="86"/>
      <c r="U117" s="86"/>
      <c r="V117" s="86"/>
      <c r="W117" s="86"/>
      <c r="X117" s="86"/>
      <c r="Y117" s="86"/>
      <c r="Z117" s="86"/>
      <c r="AA117" s="86"/>
      <c r="AB117" s="86"/>
      <c r="AC117" s="86"/>
    </row>
    <row r="118" spans="1:29" x14ac:dyDescent="0.25">
      <c r="A118" s="72"/>
      <c r="B118" s="86"/>
      <c r="C118" s="86"/>
      <c r="D118" s="86"/>
      <c r="E118" s="86"/>
      <c r="F118" s="86"/>
      <c r="G118" s="86"/>
      <c r="H118" s="86"/>
      <c r="I118" s="86"/>
      <c r="J118" s="86"/>
      <c r="K118" s="86"/>
      <c r="L118" s="86"/>
      <c r="M118" s="86"/>
      <c r="N118" s="86"/>
      <c r="P118" s="72"/>
      <c r="Q118" s="86"/>
      <c r="R118" s="86"/>
      <c r="S118" s="86"/>
      <c r="T118" s="86"/>
      <c r="U118" s="86"/>
      <c r="V118" s="86"/>
      <c r="W118" s="86"/>
      <c r="X118" s="86"/>
      <c r="Y118" s="86"/>
      <c r="Z118" s="86"/>
      <c r="AA118" s="86"/>
      <c r="AB118" s="86"/>
      <c r="AC118" s="86"/>
    </row>
    <row r="119" spans="1:29" x14ac:dyDescent="0.25">
      <c r="A119" s="72"/>
      <c r="B119" s="86"/>
      <c r="C119" s="86"/>
      <c r="D119" s="86"/>
      <c r="E119" s="86"/>
      <c r="F119" s="86"/>
      <c r="G119" s="86"/>
      <c r="H119" s="86"/>
      <c r="I119" s="86"/>
      <c r="J119" s="86"/>
      <c r="K119" s="86"/>
      <c r="L119" s="86"/>
      <c r="M119" s="86"/>
      <c r="N119" s="86"/>
      <c r="P119" s="72"/>
      <c r="Q119" s="86"/>
      <c r="R119" s="86"/>
      <c r="S119" s="86"/>
      <c r="T119" s="86"/>
      <c r="U119" s="86"/>
      <c r="V119" s="86"/>
      <c r="W119" s="86"/>
      <c r="X119" s="86"/>
      <c r="Y119" s="86"/>
      <c r="Z119" s="86"/>
      <c r="AA119" s="86"/>
      <c r="AB119" s="86"/>
      <c r="AC119" s="86"/>
    </row>
  </sheetData>
  <mergeCells count="10">
    <mergeCell ref="A49:N49"/>
    <mergeCell ref="B11:C11"/>
    <mergeCell ref="B3:J3"/>
    <mergeCell ref="Q3:Y3"/>
    <mergeCell ref="Q11:R11"/>
    <mergeCell ref="P49:AC49"/>
    <mergeCell ref="N23:N29"/>
    <mergeCell ref="N40:N46"/>
    <mergeCell ref="AC24:AC29"/>
    <mergeCell ref="AC40:AC46"/>
  </mergeCells>
  <pageMargins left="0.7" right="0.7" top="0.75" bottom="0.75" header="0.3" footer="0.3"/>
  <pageSetup orientation="portrait" r:id="rId1"/>
  <drawing r:id="rId2"/>
  <legacyDrawing r:id="rId3"/>
  <controls>
    <mc:AlternateContent xmlns:mc="http://schemas.openxmlformats.org/markup-compatibility/2006">
      <mc:Choice Requires="x14">
        <control shapeId="2116" r:id="rId4" name="monthListB">
          <controlPr defaultSize="0" autoLine="0" r:id="rId5">
            <anchor moveWithCells="1">
              <from>
                <xdr:col>15</xdr:col>
                <xdr:colOff>142875</xdr:colOff>
                <xdr:row>116</xdr:row>
                <xdr:rowOff>123825</xdr:rowOff>
              </from>
              <to>
                <xdr:col>15</xdr:col>
                <xdr:colOff>1590675</xdr:colOff>
                <xdr:row>117</xdr:row>
                <xdr:rowOff>180975</xdr:rowOff>
              </to>
            </anchor>
          </controlPr>
        </control>
      </mc:Choice>
      <mc:Fallback>
        <control shapeId="2116" r:id="rId4" name="monthListB"/>
      </mc:Fallback>
    </mc:AlternateContent>
    <mc:AlternateContent xmlns:mc="http://schemas.openxmlformats.org/markup-compatibility/2006">
      <mc:Choice Requires="x14">
        <control shapeId="2115" r:id="rId6" name="monthListA">
          <controlPr defaultSize="0" autoLine="0" autoPict="0" r:id="rId7">
            <anchor moveWithCells="1">
              <from>
                <xdr:col>0</xdr:col>
                <xdr:colOff>180975</xdr:colOff>
                <xdr:row>116</xdr:row>
                <xdr:rowOff>123825</xdr:rowOff>
              </from>
              <to>
                <xdr:col>0</xdr:col>
                <xdr:colOff>1628775</xdr:colOff>
                <xdr:row>117</xdr:row>
                <xdr:rowOff>180975</xdr:rowOff>
              </to>
            </anchor>
          </controlPr>
        </control>
      </mc:Choice>
      <mc:Fallback>
        <control shapeId="2115" r:id="rId6" name="monthListA"/>
      </mc:Fallback>
    </mc:AlternateContent>
    <mc:AlternateContent xmlns:mc="http://schemas.openxmlformats.org/markup-compatibility/2006">
      <mc:Choice Requires="x14">
        <control shapeId="2110" r:id="rId8" name="diffToggle1">
          <controlPr defaultSize="0" autoLine="0" r:id="rId9">
            <anchor moveWithCells="1">
              <from>
                <xdr:col>1</xdr:col>
                <xdr:colOff>600075</xdr:colOff>
                <xdr:row>80</xdr:row>
                <xdr:rowOff>171450</xdr:rowOff>
              </from>
              <to>
                <xdr:col>4</xdr:col>
                <xdr:colOff>28575</xdr:colOff>
                <xdr:row>83</xdr:row>
                <xdr:rowOff>57150</xdr:rowOff>
              </to>
            </anchor>
          </controlPr>
        </control>
      </mc:Choice>
      <mc:Fallback>
        <control shapeId="2110" r:id="rId8" name="diffToggle1"/>
      </mc:Fallback>
    </mc:AlternateContent>
    <mc:AlternateContent xmlns:mc="http://schemas.openxmlformats.org/markup-compatibility/2006">
      <mc:Choice Requires="x14">
        <control shapeId="2109" r:id="rId10" name="binToggle2">
          <controlPr defaultSize="0" autoLine="0" r:id="rId11">
            <anchor moveWithCells="1">
              <from>
                <xdr:col>23</xdr:col>
                <xdr:colOff>171450</xdr:colOff>
                <xdr:row>78</xdr:row>
                <xdr:rowOff>171450</xdr:rowOff>
              </from>
              <to>
                <xdr:col>25</xdr:col>
                <xdr:colOff>219075</xdr:colOff>
                <xdr:row>80</xdr:row>
                <xdr:rowOff>47625</xdr:rowOff>
              </to>
            </anchor>
          </controlPr>
        </control>
      </mc:Choice>
      <mc:Fallback>
        <control shapeId="2109" r:id="rId10" name="binToggle2"/>
      </mc:Fallback>
    </mc:AlternateContent>
    <mc:AlternateContent xmlns:mc="http://schemas.openxmlformats.org/markup-compatibility/2006">
      <mc:Choice Requires="x14">
        <control shapeId="2108" r:id="rId12" name="colorToggle2">
          <controlPr defaultSize="0" autoLine="0" r:id="rId13">
            <anchor moveWithCells="1">
              <from>
                <xdr:col>23</xdr:col>
                <xdr:colOff>171450</xdr:colOff>
                <xdr:row>77</xdr:row>
                <xdr:rowOff>114300</xdr:rowOff>
              </from>
              <to>
                <xdr:col>25</xdr:col>
                <xdr:colOff>219075</xdr:colOff>
                <xdr:row>78</xdr:row>
                <xdr:rowOff>180975</xdr:rowOff>
              </to>
            </anchor>
          </controlPr>
        </control>
      </mc:Choice>
      <mc:Fallback>
        <control shapeId="2108" r:id="rId12" name="colorToggle2"/>
      </mc:Fallback>
    </mc:AlternateContent>
    <mc:AlternateContent xmlns:mc="http://schemas.openxmlformats.org/markup-compatibility/2006">
      <mc:Choice Requires="x14">
        <control shapeId="2107" r:id="rId14" name="binToggle1">
          <controlPr defaultSize="0" autoLine="0" r:id="rId15">
            <anchor moveWithCells="1">
              <from>
                <xdr:col>8</xdr:col>
                <xdr:colOff>171450</xdr:colOff>
                <xdr:row>78</xdr:row>
                <xdr:rowOff>180975</xdr:rowOff>
              </from>
              <to>
                <xdr:col>10</xdr:col>
                <xdr:colOff>219075</xdr:colOff>
                <xdr:row>80</xdr:row>
                <xdr:rowOff>57150</xdr:rowOff>
              </to>
            </anchor>
          </controlPr>
        </control>
      </mc:Choice>
      <mc:Fallback>
        <control shapeId="2107" r:id="rId14" name="binToggle1"/>
      </mc:Fallback>
    </mc:AlternateContent>
    <mc:AlternateContent xmlns:mc="http://schemas.openxmlformats.org/markup-compatibility/2006">
      <mc:Choice Requires="x14">
        <control shapeId="2105" r:id="rId16" name="colorToggle1">
          <controlPr defaultSize="0" autoLine="0" r:id="rId17">
            <anchor moveWithCells="1">
              <from>
                <xdr:col>8</xdr:col>
                <xdr:colOff>171450</xdr:colOff>
                <xdr:row>77</xdr:row>
                <xdr:rowOff>123825</xdr:rowOff>
              </from>
              <to>
                <xdr:col>10</xdr:col>
                <xdr:colOff>219075</xdr:colOff>
                <xdr:row>79</xdr:row>
                <xdr:rowOff>0</xdr:rowOff>
              </to>
            </anchor>
          </controlPr>
        </control>
      </mc:Choice>
      <mc:Fallback>
        <control shapeId="2105" r:id="rId16" name="colorToggle1"/>
      </mc:Fallback>
    </mc:AlternateContent>
    <mc:AlternateContent xmlns:mc="http://schemas.openxmlformats.org/markup-compatibility/2006">
      <mc:Choice Requires="x14">
        <control shapeId="2096" r:id="rId18" name="OptionButton1">
          <controlPr autoLine="0" r:id="rId19">
            <anchor moveWithCells="1">
              <from>
                <xdr:col>0</xdr:col>
                <xdr:colOff>390525</xdr:colOff>
                <xdr:row>77</xdr:row>
                <xdr:rowOff>9525</xdr:rowOff>
              </from>
              <to>
                <xdr:col>0</xdr:col>
                <xdr:colOff>1495425</xdr:colOff>
                <xdr:row>78</xdr:row>
                <xdr:rowOff>85725</xdr:rowOff>
              </to>
            </anchor>
          </controlPr>
        </control>
      </mc:Choice>
      <mc:Fallback>
        <control shapeId="2096" r:id="rId18" name="OptionButton1"/>
      </mc:Fallback>
    </mc:AlternateContent>
    <mc:AlternateContent xmlns:mc="http://schemas.openxmlformats.org/markup-compatibility/2006">
      <mc:Choice Requires="x14">
        <control shapeId="2097" r:id="rId20" name="OptionButton2">
          <controlPr autoLine="0" r:id="rId21">
            <anchor moveWithCells="1">
              <from>
                <xdr:col>0</xdr:col>
                <xdr:colOff>390525</xdr:colOff>
                <xdr:row>78</xdr:row>
                <xdr:rowOff>66675</xdr:rowOff>
              </from>
              <to>
                <xdr:col>0</xdr:col>
                <xdr:colOff>1495425</xdr:colOff>
                <xdr:row>79</xdr:row>
                <xdr:rowOff>142875</xdr:rowOff>
              </to>
            </anchor>
          </controlPr>
        </control>
      </mc:Choice>
      <mc:Fallback>
        <control shapeId="2097" r:id="rId20" name="OptionButton2"/>
      </mc:Fallback>
    </mc:AlternateContent>
    <mc:AlternateContent xmlns:mc="http://schemas.openxmlformats.org/markup-compatibility/2006">
      <mc:Choice Requires="x14">
        <control shapeId="2098" r:id="rId22" name="OptionButton3">
          <controlPr autoLine="0" r:id="rId23">
            <anchor moveWithCells="1">
              <from>
                <xdr:col>0</xdr:col>
                <xdr:colOff>390525</xdr:colOff>
                <xdr:row>79</xdr:row>
                <xdr:rowOff>133350</xdr:rowOff>
              </from>
              <to>
                <xdr:col>0</xdr:col>
                <xdr:colOff>1495425</xdr:colOff>
                <xdr:row>81</xdr:row>
                <xdr:rowOff>19050</xdr:rowOff>
              </to>
            </anchor>
          </controlPr>
        </control>
      </mc:Choice>
      <mc:Fallback>
        <control shapeId="2098" r:id="rId22" name="OptionButton3"/>
      </mc:Fallback>
    </mc:AlternateContent>
    <mc:AlternateContent xmlns:mc="http://schemas.openxmlformats.org/markup-compatibility/2006">
      <mc:Choice Requires="x14">
        <control shapeId="2099" r:id="rId24" name="OptionButton4">
          <controlPr autoLine="0" r:id="rId25">
            <anchor moveWithCells="1">
              <from>
                <xdr:col>0</xdr:col>
                <xdr:colOff>390525</xdr:colOff>
                <xdr:row>81</xdr:row>
                <xdr:rowOff>9525</xdr:rowOff>
              </from>
              <to>
                <xdr:col>0</xdr:col>
                <xdr:colOff>1495425</xdr:colOff>
                <xdr:row>82</xdr:row>
                <xdr:rowOff>85725</xdr:rowOff>
              </to>
            </anchor>
          </controlPr>
        </control>
      </mc:Choice>
      <mc:Fallback>
        <control shapeId="2099" r:id="rId24" name="OptionButton4"/>
      </mc:Fallback>
    </mc:AlternateContent>
    <mc:AlternateContent xmlns:mc="http://schemas.openxmlformats.org/markup-compatibility/2006">
      <mc:Choice Requires="x14">
        <control shapeId="2101" r:id="rId26" name="OptionButton5">
          <controlPr autoLine="0" r:id="rId27">
            <anchor moveWithCells="1">
              <from>
                <xdr:col>15</xdr:col>
                <xdr:colOff>400050</xdr:colOff>
                <xdr:row>77</xdr:row>
                <xdr:rowOff>19050</xdr:rowOff>
              </from>
              <to>
                <xdr:col>15</xdr:col>
                <xdr:colOff>1504950</xdr:colOff>
                <xdr:row>78</xdr:row>
                <xdr:rowOff>95250</xdr:rowOff>
              </to>
            </anchor>
          </controlPr>
        </control>
      </mc:Choice>
      <mc:Fallback>
        <control shapeId="2101" r:id="rId26" name="OptionButton5"/>
      </mc:Fallback>
    </mc:AlternateContent>
    <mc:AlternateContent xmlns:mc="http://schemas.openxmlformats.org/markup-compatibility/2006">
      <mc:Choice Requires="x14">
        <control shapeId="2102" r:id="rId28" name="OptionButton6">
          <controlPr autoLine="0" r:id="rId29">
            <anchor moveWithCells="1">
              <from>
                <xdr:col>15</xdr:col>
                <xdr:colOff>400050</xdr:colOff>
                <xdr:row>78</xdr:row>
                <xdr:rowOff>76200</xdr:rowOff>
              </from>
              <to>
                <xdr:col>15</xdr:col>
                <xdr:colOff>1504950</xdr:colOff>
                <xdr:row>79</xdr:row>
                <xdr:rowOff>152400</xdr:rowOff>
              </to>
            </anchor>
          </controlPr>
        </control>
      </mc:Choice>
      <mc:Fallback>
        <control shapeId="2102" r:id="rId28" name="OptionButton6"/>
      </mc:Fallback>
    </mc:AlternateContent>
    <mc:AlternateContent xmlns:mc="http://schemas.openxmlformats.org/markup-compatibility/2006">
      <mc:Choice Requires="x14">
        <control shapeId="2103" r:id="rId30" name="OptionButton7">
          <controlPr autoLine="0" r:id="rId31">
            <anchor moveWithCells="1">
              <from>
                <xdr:col>15</xdr:col>
                <xdr:colOff>400050</xdr:colOff>
                <xdr:row>79</xdr:row>
                <xdr:rowOff>142875</xdr:rowOff>
              </from>
              <to>
                <xdr:col>15</xdr:col>
                <xdr:colOff>1504950</xdr:colOff>
                <xdr:row>81</xdr:row>
                <xdr:rowOff>28575</xdr:rowOff>
              </to>
            </anchor>
          </controlPr>
        </control>
      </mc:Choice>
      <mc:Fallback>
        <control shapeId="2103" r:id="rId30" name="OptionButton7"/>
      </mc:Fallback>
    </mc:AlternateContent>
    <mc:AlternateContent xmlns:mc="http://schemas.openxmlformats.org/markup-compatibility/2006">
      <mc:Choice Requires="x14">
        <control shapeId="2104" r:id="rId32" name="OptionButton8">
          <controlPr autoLine="0" r:id="rId33">
            <anchor moveWithCells="1">
              <from>
                <xdr:col>15</xdr:col>
                <xdr:colOff>400050</xdr:colOff>
                <xdr:row>81</xdr:row>
                <xdr:rowOff>19050</xdr:rowOff>
              </from>
              <to>
                <xdr:col>15</xdr:col>
                <xdr:colOff>1504950</xdr:colOff>
                <xdr:row>82</xdr:row>
                <xdr:rowOff>95250</xdr:rowOff>
              </to>
            </anchor>
          </controlPr>
        </control>
      </mc:Choice>
      <mc:Fallback>
        <control shapeId="2104" r:id="rId32" name="OptionButton8"/>
      </mc:Fallback>
    </mc:AlternateContent>
    <mc:AlternateContent xmlns:mc="http://schemas.openxmlformats.org/markup-compatibility/2006">
      <mc:Choice Requires="x14">
        <control shapeId="2111" r:id="rId34" name="diffToggle2">
          <controlPr defaultSize="0" autoLine="0" r:id="rId35">
            <anchor moveWithCells="1">
              <from>
                <xdr:col>17</xdr:col>
                <xdr:colOff>19050</xdr:colOff>
                <xdr:row>80</xdr:row>
                <xdr:rowOff>133350</xdr:rowOff>
              </from>
              <to>
                <xdr:col>19</xdr:col>
                <xdr:colOff>57150</xdr:colOff>
                <xdr:row>83</xdr:row>
                <xdr:rowOff>19050</xdr:rowOff>
              </to>
            </anchor>
          </controlPr>
        </control>
      </mc:Choice>
      <mc:Fallback>
        <control shapeId="2111" r:id="rId34" name="diffToggle2"/>
      </mc:Fallback>
    </mc:AlternateContent>
    <mc:AlternateContent xmlns:mc="http://schemas.openxmlformats.org/markup-compatibility/2006">
      <mc:Choice Requires="x14">
        <control shapeId="2112" r:id="rId36" name="CheckBox1">
          <controlPr defaultSize="0" autoLine="0" autoPict="0" r:id="rId37">
            <anchor moveWithCells="1">
              <from>
                <xdr:col>25</xdr:col>
                <xdr:colOff>304800</xdr:colOff>
                <xdr:row>1</xdr:row>
                <xdr:rowOff>95250</xdr:rowOff>
              </from>
              <to>
                <xdr:col>28</xdr:col>
                <xdr:colOff>0</xdr:colOff>
                <xdr:row>2</xdr:row>
                <xdr:rowOff>180975</xdr:rowOff>
              </to>
            </anchor>
          </controlPr>
        </control>
      </mc:Choice>
      <mc:Fallback>
        <control shapeId="2112" r:id="rId36" name="CheckBox1"/>
      </mc:Fallback>
    </mc:AlternateContent>
    <mc:AlternateContent xmlns:mc="http://schemas.openxmlformats.org/markup-compatibility/2006">
      <mc:Choice Requires="x14">
        <control shapeId="2049" r:id="rId38" name="Button 1">
          <controlPr defaultSize="0" print="0" autoFill="0" autoPict="0" macro="[0]!loadWeather">
            <anchor moveWithCells="1">
              <from>
                <xdr:col>11</xdr:col>
                <xdr:colOff>514350</xdr:colOff>
                <xdr:row>1</xdr:row>
                <xdr:rowOff>180975</xdr:rowOff>
              </from>
              <to>
                <xdr:col>13</xdr:col>
                <xdr:colOff>495300</xdr:colOff>
                <xdr:row>4</xdr:row>
                <xdr:rowOff>85725</xdr:rowOff>
              </to>
            </anchor>
          </controlPr>
        </control>
      </mc:Choice>
    </mc:AlternateContent>
    <mc:AlternateContent xmlns:mc="http://schemas.openxmlformats.org/markup-compatibility/2006">
      <mc:Choice Requires="x14">
        <control shapeId="2050" r:id="rId39" name="Button 2">
          <controlPr defaultSize="0" print="0" autoFill="0" autoPict="0" macro="[0]!defaultDesignA">
            <anchor moveWithCells="1">
              <from>
                <xdr:col>26</xdr:col>
                <xdr:colOff>28575</xdr:colOff>
                <xdr:row>5</xdr:row>
                <xdr:rowOff>161925</xdr:rowOff>
              </from>
              <to>
                <xdr:col>28</xdr:col>
                <xdr:colOff>9525</xdr:colOff>
                <xdr:row>7</xdr:row>
                <xdr:rowOff>123825</xdr:rowOff>
              </to>
            </anchor>
          </controlPr>
        </control>
      </mc:Choice>
    </mc:AlternateContent>
    <mc:AlternateContent xmlns:mc="http://schemas.openxmlformats.org/markup-compatibility/2006">
      <mc:Choice Requires="x14">
        <control shapeId="2051" r:id="rId40" name="Button 3">
          <controlPr defaultSize="0" print="0" autoFill="0" autoPict="0" macro="[0]!defaultDesignB">
            <anchor moveWithCells="1">
              <from>
                <xdr:col>10</xdr:col>
                <xdr:colOff>571500</xdr:colOff>
                <xdr:row>6</xdr:row>
                <xdr:rowOff>19050</xdr:rowOff>
              </from>
              <to>
                <xdr:col>12</xdr:col>
                <xdr:colOff>552450</xdr:colOff>
                <xdr:row>7</xdr:row>
                <xdr:rowOff>180975</xdr:rowOff>
              </to>
            </anchor>
          </controlPr>
        </control>
      </mc:Choice>
    </mc:AlternateContent>
    <mc:AlternateContent xmlns:mc="http://schemas.openxmlformats.org/markup-compatibility/2006">
      <mc:Choice Requires="x14">
        <control shapeId="2052" r:id="rId41" name="Button 4">
          <controlPr defaultSize="0" print="0" autoFill="0" autoPict="0" macro="[0]!designARun">
            <anchor moveWithCells="1">
              <from>
                <xdr:col>10</xdr:col>
                <xdr:colOff>142875</xdr:colOff>
                <xdr:row>41</xdr:row>
                <xdr:rowOff>57150</xdr:rowOff>
              </from>
              <to>
                <xdr:col>12</xdr:col>
                <xdr:colOff>561975</xdr:colOff>
                <xdr:row>45</xdr:row>
                <xdr:rowOff>28575</xdr:rowOff>
              </to>
            </anchor>
          </controlPr>
        </control>
      </mc:Choice>
    </mc:AlternateContent>
    <mc:AlternateContent xmlns:mc="http://schemas.openxmlformats.org/markup-compatibility/2006">
      <mc:Choice Requires="x14">
        <control shapeId="2053" r:id="rId42" name="Button 5">
          <controlPr defaultSize="0" print="0" autoFill="0" autoPict="0" macro="[0]!designBRun">
            <anchor moveWithCells="1">
              <from>
                <xdr:col>25</xdr:col>
                <xdr:colOff>142875</xdr:colOff>
                <xdr:row>41</xdr:row>
                <xdr:rowOff>57150</xdr:rowOff>
              </from>
              <to>
                <xdr:col>27</xdr:col>
                <xdr:colOff>561975</xdr:colOff>
                <xdr:row>45</xdr:row>
                <xdr:rowOff>28575</xdr:rowOff>
              </to>
            </anchor>
          </controlPr>
        </control>
      </mc:Choice>
    </mc:AlternateContent>
    <mc:AlternateContent xmlns:mc="http://schemas.openxmlformats.org/markup-compatibility/2006">
      <mc:Choice Requires="x14">
        <control shapeId="2070" r:id="rId43" name="Group Box 22">
          <controlPr defaultSize="0" autoFill="0" autoPict="0">
            <anchor moveWithCells="1">
              <from>
                <xdr:col>0</xdr:col>
                <xdr:colOff>295275</xdr:colOff>
                <xdr:row>76</xdr:row>
                <xdr:rowOff>76200</xdr:rowOff>
              </from>
              <to>
                <xdr:col>0</xdr:col>
                <xdr:colOff>1600200</xdr:colOff>
                <xdr:row>83</xdr:row>
                <xdr:rowOff>9525</xdr:rowOff>
              </to>
            </anchor>
          </controlPr>
        </control>
      </mc:Choice>
    </mc:AlternateContent>
    <mc:AlternateContent xmlns:mc="http://schemas.openxmlformats.org/markup-compatibility/2006">
      <mc:Choice Requires="x14">
        <control shapeId="2100" r:id="rId44" name="Group Box 52">
          <controlPr defaultSize="0" autoFill="0" autoPict="0">
            <anchor moveWithCells="1">
              <from>
                <xdr:col>15</xdr:col>
                <xdr:colOff>304800</xdr:colOff>
                <xdr:row>76</xdr:row>
                <xdr:rowOff>85725</xdr:rowOff>
              </from>
              <to>
                <xdr:col>15</xdr:col>
                <xdr:colOff>1609725</xdr:colOff>
                <xdr:row>83</xdr:row>
                <xdr:rowOff>19050</xdr:rowOff>
              </to>
            </anchor>
          </controlPr>
        </control>
      </mc:Choice>
    </mc:AlternateContent>
    <mc:AlternateContent xmlns:mc="http://schemas.openxmlformats.org/markup-compatibility/2006">
      <mc:Choice Requires="x14">
        <control shapeId="2113" r:id="rId45" name="Button 65">
          <controlPr defaultSize="0" print="0" autoFill="0" autoPict="0" macro="[0]!loadWeatherB">
            <anchor moveWithCells="1" sizeWithCells="1">
              <from>
                <xdr:col>25</xdr:col>
                <xdr:colOff>342900</xdr:colOff>
                <xdr:row>3</xdr:row>
                <xdr:rowOff>9525</xdr:rowOff>
              </from>
              <to>
                <xdr:col>27</xdr:col>
                <xdr:colOff>581025</xdr:colOff>
                <xdr:row>4</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385"/>
  <sheetViews>
    <sheetView topLeftCell="A291" workbookViewId="0">
      <selection activeCell="B314" sqref="B314:M337"/>
    </sheetView>
  </sheetViews>
  <sheetFormatPr defaultRowHeight="15" x14ac:dyDescent="0.25"/>
  <sheetData>
    <row r="1" spans="1:28" x14ac:dyDescent="0.25">
      <c r="A1" s="3" t="s">
        <v>54</v>
      </c>
    </row>
    <row r="2" spans="1:28" x14ac:dyDescent="0.25">
      <c r="A2" s="4" t="s">
        <v>0</v>
      </c>
      <c r="B2" s="4" t="s">
        <v>1</v>
      </c>
      <c r="C2" s="4" t="s">
        <v>2</v>
      </c>
      <c r="D2" s="4" t="s">
        <v>3</v>
      </c>
      <c r="E2" s="4" t="s">
        <v>4</v>
      </c>
      <c r="F2" s="4" t="s">
        <v>5</v>
      </c>
      <c r="G2" s="4" t="s">
        <v>6</v>
      </c>
      <c r="H2" s="4" t="s">
        <v>7</v>
      </c>
      <c r="I2" s="4" t="s">
        <v>8</v>
      </c>
      <c r="J2" s="4" t="s">
        <v>9</v>
      </c>
      <c r="K2" s="4" t="s">
        <v>10</v>
      </c>
      <c r="L2" s="4" t="s">
        <v>11</v>
      </c>
      <c r="M2" s="4" t="s">
        <v>12</v>
      </c>
      <c r="P2" s="4" t="s">
        <v>0</v>
      </c>
      <c r="Q2" s="4" t="s">
        <v>1</v>
      </c>
      <c r="R2" s="4" t="s">
        <v>2</v>
      </c>
      <c r="S2" s="4" t="s">
        <v>3</v>
      </c>
      <c r="T2" s="4" t="s">
        <v>4</v>
      </c>
      <c r="U2" s="4" t="s">
        <v>5</v>
      </c>
      <c r="V2" s="4" t="s">
        <v>6</v>
      </c>
      <c r="W2" s="4" t="s">
        <v>7</v>
      </c>
      <c r="X2" s="4" t="s">
        <v>8</v>
      </c>
      <c r="Y2" s="4" t="s">
        <v>9</v>
      </c>
      <c r="Z2" s="4" t="s">
        <v>10</v>
      </c>
      <c r="AA2" s="4" t="s">
        <v>11</v>
      </c>
      <c r="AB2" s="4" t="s">
        <v>12</v>
      </c>
    </row>
    <row r="3" spans="1:28" x14ac:dyDescent="0.25">
      <c r="A3" s="4" t="s">
        <v>13</v>
      </c>
      <c r="B3" s="4">
        <v>8.7400000000000091</v>
      </c>
      <c r="C3" s="4">
        <v>8.9199999999999875</v>
      </c>
      <c r="D3" s="4">
        <v>8.5600000000000023</v>
      </c>
      <c r="E3" s="4">
        <v>6.9399999999999977</v>
      </c>
      <c r="F3" s="4">
        <v>4.960000000000008</v>
      </c>
      <c r="G3" s="4">
        <v>2.7999999999999972</v>
      </c>
      <c r="H3" s="4">
        <v>1.3599999999999994</v>
      </c>
      <c r="I3" s="4">
        <v>1.3599999999999994</v>
      </c>
      <c r="J3" s="4">
        <v>0.81999999999999318</v>
      </c>
      <c r="K3" s="4">
        <v>3.3400000000000034</v>
      </c>
      <c r="L3" s="4">
        <v>4.960000000000008</v>
      </c>
      <c r="M3" s="4">
        <v>6.4000000000000057</v>
      </c>
      <c r="P3" s="4" t="s">
        <v>13</v>
      </c>
      <c r="Q3">
        <v>8.7400000000000091</v>
      </c>
      <c r="R3">
        <v>8.9199999999999875</v>
      </c>
      <c r="S3">
        <v>8.5600000000000023</v>
      </c>
      <c r="T3">
        <v>6.9399999999999977</v>
      </c>
      <c r="U3">
        <v>4.960000000000008</v>
      </c>
      <c r="V3">
        <v>2.7999999999999972</v>
      </c>
      <c r="W3">
        <v>1.3599999999999994</v>
      </c>
      <c r="X3">
        <v>1.3599999999999994</v>
      </c>
      <c r="Y3">
        <v>0.81999999999999318</v>
      </c>
      <c r="Z3">
        <v>3.3400000000000034</v>
      </c>
      <c r="AA3">
        <v>4.960000000000008</v>
      </c>
      <c r="AB3">
        <v>6.4000000000000057</v>
      </c>
    </row>
    <row r="4" spans="1:28" x14ac:dyDescent="0.25">
      <c r="A4" s="4" t="s">
        <v>14</v>
      </c>
      <c r="B4" s="4">
        <v>9.2800000000000011</v>
      </c>
      <c r="C4" s="4">
        <v>8.9199999999999875</v>
      </c>
      <c r="D4" s="4">
        <v>9.2800000000000011</v>
      </c>
      <c r="E4" s="4">
        <v>7.1200000000000045</v>
      </c>
      <c r="F4" s="4">
        <v>5.5</v>
      </c>
      <c r="G4" s="4">
        <v>2.980000000000004</v>
      </c>
      <c r="H4" s="4">
        <v>1.539999999999992</v>
      </c>
      <c r="I4" s="4">
        <v>1.7199999999999989</v>
      </c>
      <c r="J4" s="4">
        <v>1</v>
      </c>
      <c r="K4" s="4">
        <v>4.0600000000000023</v>
      </c>
      <c r="L4" s="4">
        <v>5.3199999999999932</v>
      </c>
      <c r="M4" s="4">
        <v>7.2999999999999972</v>
      </c>
      <c r="P4" s="4" t="s">
        <v>14</v>
      </c>
      <c r="Q4">
        <v>9.2800000000000011</v>
      </c>
      <c r="R4">
        <v>8.9199999999999875</v>
      </c>
      <c r="S4">
        <v>9.2800000000000011</v>
      </c>
      <c r="T4">
        <v>7.1200000000000045</v>
      </c>
      <c r="U4">
        <v>5.5</v>
      </c>
      <c r="V4">
        <v>2.980000000000004</v>
      </c>
      <c r="W4">
        <v>1.539999999999992</v>
      </c>
      <c r="X4">
        <v>1.7199999999999989</v>
      </c>
      <c r="Y4">
        <v>1</v>
      </c>
      <c r="Z4">
        <v>4.0600000000000023</v>
      </c>
      <c r="AA4">
        <v>5.3199999999999932</v>
      </c>
      <c r="AB4">
        <v>7.2999999999999972</v>
      </c>
    </row>
    <row r="5" spans="1:28" x14ac:dyDescent="0.25">
      <c r="A5" s="4" t="s">
        <v>15</v>
      </c>
      <c r="B5" s="4">
        <v>9.64</v>
      </c>
      <c r="C5" s="4">
        <v>9.460000000000008</v>
      </c>
      <c r="D5" s="4">
        <v>9.460000000000008</v>
      </c>
      <c r="E5" s="4">
        <v>7.8400000000000034</v>
      </c>
      <c r="F5" s="4">
        <v>5.8599999999999994</v>
      </c>
      <c r="G5" s="4">
        <v>3.3400000000000034</v>
      </c>
      <c r="H5" s="4">
        <v>1.7199999999999989</v>
      </c>
      <c r="I5" s="4">
        <v>2.0799999999999983</v>
      </c>
      <c r="J5" s="4">
        <v>1.3599999999999994</v>
      </c>
      <c r="K5" s="4">
        <v>4.4199999999999875</v>
      </c>
      <c r="L5" s="4">
        <v>5.5</v>
      </c>
      <c r="M5" s="4">
        <v>7.480000000000004</v>
      </c>
      <c r="P5" s="4" t="s">
        <v>15</v>
      </c>
      <c r="Q5">
        <v>9.64</v>
      </c>
      <c r="R5">
        <v>9.460000000000008</v>
      </c>
      <c r="S5">
        <v>9.460000000000008</v>
      </c>
      <c r="T5">
        <v>7.8400000000000034</v>
      </c>
      <c r="U5">
        <v>5.8599999999999994</v>
      </c>
      <c r="V5">
        <v>3.3400000000000034</v>
      </c>
      <c r="W5">
        <v>1.7199999999999989</v>
      </c>
      <c r="X5">
        <v>2.0799999999999983</v>
      </c>
      <c r="Y5">
        <v>1.3599999999999994</v>
      </c>
      <c r="Z5">
        <v>4.4199999999999875</v>
      </c>
      <c r="AA5">
        <v>5.5</v>
      </c>
      <c r="AB5">
        <v>7.480000000000004</v>
      </c>
    </row>
    <row r="6" spans="1:28" x14ac:dyDescent="0.25">
      <c r="A6" s="4" t="s">
        <v>16</v>
      </c>
      <c r="B6" s="4">
        <v>9.8199999999999932</v>
      </c>
      <c r="C6" s="4">
        <v>10</v>
      </c>
      <c r="D6" s="4">
        <v>10.180000000000007</v>
      </c>
      <c r="E6" s="4">
        <v>8.1999999999999886</v>
      </c>
      <c r="F6" s="4">
        <v>6.4000000000000057</v>
      </c>
      <c r="G6" s="4">
        <v>3.6999999999999886</v>
      </c>
      <c r="H6" s="4">
        <v>2.0799999999999983</v>
      </c>
      <c r="I6" s="4">
        <v>2.6200000000000045</v>
      </c>
      <c r="J6" s="4">
        <v>1.7199999999999989</v>
      </c>
      <c r="K6" s="4">
        <v>4.7800000000000011</v>
      </c>
      <c r="L6" s="4">
        <v>6.039999999999992</v>
      </c>
      <c r="M6" s="4">
        <v>7.6599999999999966</v>
      </c>
      <c r="P6" s="4" t="s">
        <v>16</v>
      </c>
      <c r="Q6">
        <v>9.8199999999999932</v>
      </c>
      <c r="R6">
        <v>10</v>
      </c>
      <c r="S6">
        <v>10.180000000000007</v>
      </c>
      <c r="T6">
        <v>8.1999999999999886</v>
      </c>
      <c r="U6">
        <v>6.4000000000000057</v>
      </c>
      <c r="V6">
        <v>3.6999999999999886</v>
      </c>
      <c r="W6">
        <v>2.0799999999999983</v>
      </c>
      <c r="X6">
        <v>2.6200000000000045</v>
      </c>
      <c r="Y6">
        <v>1.7199999999999989</v>
      </c>
      <c r="Z6">
        <v>4.7800000000000011</v>
      </c>
      <c r="AA6">
        <v>6.039999999999992</v>
      </c>
      <c r="AB6">
        <v>7.6599999999999966</v>
      </c>
    </row>
    <row r="7" spans="1:28" x14ac:dyDescent="0.25">
      <c r="A7" s="4" t="s">
        <v>17</v>
      </c>
      <c r="B7" s="4">
        <v>10.180000000000007</v>
      </c>
      <c r="C7" s="4">
        <v>10.36</v>
      </c>
      <c r="D7" s="4">
        <v>10.180000000000007</v>
      </c>
      <c r="E7" s="4">
        <v>8.1999999999999886</v>
      </c>
      <c r="F7" s="4">
        <v>6.4000000000000057</v>
      </c>
      <c r="G7" s="4">
        <v>4.0600000000000023</v>
      </c>
      <c r="H7" s="4">
        <v>2.0799999999999983</v>
      </c>
      <c r="I7" s="4">
        <v>2.7999999999999972</v>
      </c>
      <c r="J7" s="4">
        <v>2.0799999999999983</v>
      </c>
      <c r="K7" s="4">
        <v>5.3199999999999932</v>
      </c>
      <c r="L7" s="4">
        <v>6.039999999999992</v>
      </c>
      <c r="M7" s="4">
        <v>7.8400000000000034</v>
      </c>
      <c r="P7" s="4" t="s">
        <v>17</v>
      </c>
      <c r="Q7">
        <v>10.180000000000007</v>
      </c>
      <c r="R7">
        <v>10.36</v>
      </c>
      <c r="S7">
        <v>10.180000000000007</v>
      </c>
      <c r="T7">
        <v>8.1999999999999886</v>
      </c>
      <c r="U7">
        <v>6.4000000000000057</v>
      </c>
      <c r="V7">
        <v>4.0600000000000023</v>
      </c>
      <c r="W7">
        <v>2.0799999999999983</v>
      </c>
      <c r="X7">
        <v>2.7999999999999972</v>
      </c>
      <c r="Y7">
        <v>2.0799999999999983</v>
      </c>
      <c r="Z7">
        <v>5.3199999999999932</v>
      </c>
      <c r="AA7">
        <v>6.039999999999992</v>
      </c>
      <c r="AB7">
        <v>7.8400000000000034</v>
      </c>
    </row>
    <row r="8" spans="1:28" x14ac:dyDescent="0.25">
      <c r="A8" s="4" t="s">
        <v>18</v>
      </c>
      <c r="B8" s="4">
        <v>10.36</v>
      </c>
      <c r="C8" s="4">
        <v>10.539999999999992</v>
      </c>
      <c r="D8" s="4">
        <v>10.180000000000007</v>
      </c>
      <c r="E8" s="4">
        <v>8.3799999999999955</v>
      </c>
      <c r="F8" s="4">
        <v>6.4000000000000057</v>
      </c>
      <c r="G8" s="4">
        <v>2.6200000000000045</v>
      </c>
      <c r="H8" s="4">
        <v>2.0799999999999983</v>
      </c>
      <c r="I8" s="4">
        <v>2.980000000000004</v>
      </c>
      <c r="J8" s="4">
        <v>1.7199999999999989</v>
      </c>
      <c r="K8" s="4">
        <v>5.6800000000000068</v>
      </c>
      <c r="L8" s="4">
        <v>6.4000000000000057</v>
      </c>
      <c r="M8" s="4">
        <v>7.2999999999999972</v>
      </c>
      <c r="P8" s="4" t="s">
        <v>18</v>
      </c>
      <c r="Q8">
        <v>10.36</v>
      </c>
      <c r="R8">
        <v>10.539999999999992</v>
      </c>
      <c r="S8">
        <v>10.180000000000007</v>
      </c>
      <c r="T8">
        <v>8.3799999999999955</v>
      </c>
      <c r="U8">
        <v>6.4000000000000057</v>
      </c>
      <c r="V8">
        <v>2.6200000000000045</v>
      </c>
      <c r="W8">
        <v>2.0799999999999983</v>
      </c>
      <c r="X8">
        <v>2.980000000000004</v>
      </c>
      <c r="Y8">
        <v>1.7199999999999989</v>
      </c>
      <c r="Z8">
        <v>5.6800000000000068</v>
      </c>
      <c r="AA8">
        <v>6.4000000000000057</v>
      </c>
      <c r="AB8">
        <v>7.2999999999999972</v>
      </c>
    </row>
    <row r="9" spans="1:28" x14ac:dyDescent="0.25">
      <c r="A9" s="4" t="s">
        <v>19</v>
      </c>
      <c r="B9" s="4">
        <v>10.719999999999999</v>
      </c>
      <c r="C9" s="4">
        <v>10.719999999999999</v>
      </c>
      <c r="D9" s="4">
        <v>10</v>
      </c>
      <c r="E9" s="4">
        <v>7.480000000000004</v>
      </c>
      <c r="F9" s="4">
        <v>4.0600000000000023</v>
      </c>
      <c r="G9" s="4">
        <v>1.3599999999999994</v>
      </c>
      <c r="H9" s="4">
        <v>0.81999999999999318</v>
      </c>
      <c r="I9" s="4">
        <v>2.0799999999999983</v>
      </c>
      <c r="J9" s="4">
        <v>1.3599999999999994</v>
      </c>
      <c r="K9" s="4">
        <v>5.1400000000000006</v>
      </c>
      <c r="L9" s="4">
        <v>5.8599999999999994</v>
      </c>
      <c r="M9" s="4">
        <v>6.7599999999999909</v>
      </c>
      <c r="P9" s="4" t="s">
        <v>19</v>
      </c>
      <c r="Q9">
        <v>10.719999999999999</v>
      </c>
      <c r="R9">
        <v>10.719999999999999</v>
      </c>
      <c r="S9">
        <v>10</v>
      </c>
      <c r="T9">
        <v>7.480000000000004</v>
      </c>
      <c r="U9">
        <v>4.0600000000000023</v>
      </c>
      <c r="V9">
        <v>1.3599999999999994</v>
      </c>
      <c r="W9">
        <v>0.81999999999999318</v>
      </c>
      <c r="X9">
        <v>2.0799999999999983</v>
      </c>
      <c r="Y9">
        <v>1.3599999999999994</v>
      </c>
      <c r="Z9">
        <v>5.1400000000000006</v>
      </c>
      <c r="AA9">
        <v>5.8599999999999994</v>
      </c>
      <c r="AB9">
        <v>6.7599999999999909</v>
      </c>
    </row>
    <row r="10" spans="1:28" x14ac:dyDescent="0.25">
      <c r="A10" s="4" t="s">
        <v>20</v>
      </c>
      <c r="B10" s="4">
        <v>8.9199999999999875</v>
      </c>
      <c r="C10" s="4">
        <v>8.019999999999996</v>
      </c>
      <c r="D10" s="4">
        <v>6.4000000000000057</v>
      </c>
      <c r="E10" s="4">
        <v>4.0600000000000023</v>
      </c>
      <c r="F10" s="4">
        <v>0.46000000000000796</v>
      </c>
      <c r="G10" s="4">
        <v>9.9999999999994316E-2</v>
      </c>
      <c r="H10" s="4">
        <v>-1.8799999999999955</v>
      </c>
      <c r="I10" s="4">
        <v>-1.7000000000000028</v>
      </c>
      <c r="J10" s="4">
        <v>-1.1599999999999966</v>
      </c>
      <c r="K10" s="4">
        <v>-0.80000000000001137</v>
      </c>
      <c r="L10" s="4">
        <v>2.6200000000000045</v>
      </c>
      <c r="M10" s="4">
        <v>6.039999999999992</v>
      </c>
      <c r="P10" s="4" t="s">
        <v>20</v>
      </c>
      <c r="Q10">
        <v>8.9199999999999875</v>
      </c>
      <c r="R10">
        <v>8.019999999999996</v>
      </c>
      <c r="S10">
        <v>6.4000000000000057</v>
      </c>
      <c r="T10">
        <v>4.0600000000000023</v>
      </c>
      <c r="U10">
        <v>0.46000000000000796</v>
      </c>
      <c r="V10">
        <v>9.9999999999994316E-2</v>
      </c>
      <c r="W10">
        <v>-1.8799999999999955</v>
      </c>
      <c r="X10">
        <v>-1.7000000000000028</v>
      </c>
      <c r="Y10">
        <v>-1.1599999999999966</v>
      </c>
      <c r="Z10">
        <v>-0.80000000000001137</v>
      </c>
      <c r="AA10">
        <v>2.6200000000000045</v>
      </c>
      <c r="AB10">
        <v>6.039999999999992</v>
      </c>
    </row>
    <row r="11" spans="1:28" x14ac:dyDescent="0.25">
      <c r="A11" s="4" t="s">
        <v>21</v>
      </c>
      <c r="B11" s="4">
        <v>4.5999999999999943</v>
      </c>
      <c r="C11" s="4">
        <v>3.519999999999996</v>
      </c>
      <c r="D11" s="4">
        <v>2.2599999999999909</v>
      </c>
      <c r="E11" s="4">
        <v>1.9000000000000057</v>
      </c>
      <c r="F11" s="4">
        <v>-2.2400000000000091</v>
      </c>
      <c r="G11" s="4">
        <v>-1.7000000000000028</v>
      </c>
      <c r="H11" s="4">
        <v>-4.5800000000000125</v>
      </c>
      <c r="I11" s="4">
        <v>-4.9399999999999977</v>
      </c>
      <c r="J11" s="4">
        <v>-3.5</v>
      </c>
      <c r="K11" s="4">
        <v>-4.5800000000000125</v>
      </c>
      <c r="L11" s="4">
        <v>-8.0000000000012506E-2</v>
      </c>
      <c r="M11" s="4">
        <v>3.6999999999999886</v>
      </c>
      <c r="P11" s="4" t="s">
        <v>21</v>
      </c>
      <c r="Q11">
        <v>4.5999999999999943</v>
      </c>
      <c r="R11">
        <v>3.519999999999996</v>
      </c>
      <c r="S11">
        <v>2.2599999999999909</v>
      </c>
      <c r="T11">
        <v>1.9000000000000057</v>
      </c>
      <c r="U11">
        <v>-2.2400000000000091</v>
      </c>
      <c r="V11">
        <v>-1.7000000000000028</v>
      </c>
      <c r="W11">
        <v>-4.5800000000000125</v>
      </c>
      <c r="X11">
        <v>-4.9399999999999977</v>
      </c>
      <c r="Y11">
        <v>-3.5</v>
      </c>
      <c r="Z11">
        <v>-4.5800000000000125</v>
      </c>
      <c r="AA11">
        <v>-8.0000000000012506E-2</v>
      </c>
      <c r="AB11">
        <v>3.6999999999999886</v>
      </c>
    </row>
    <row r="12" spans="1:28" x14ac:dyDescent="0.25">
      <c r="A12" s="4" t="s">
        <v>22</v>
      </c>
      <c r="B12" s="4">
        <v>1.7199999999999989</v>
      </c>
      <c r="C12" s="4">
        <v>0.81999999999999318</v>
      </c>
      <c r="D12" s="4">
        <v>-0.25999999999999091</v>
      </c>
      <c r="E12" s="4">
        <v>-0.43999999999999773</v>
      </c>
      <c r="F12" s="4">
        <v>-4.2199999999999989</v>
      </c>
      <c r="G12" s="4">
        <v>-3.5</v>
      </c>
      <c r="H12" s="4">
        <v>-5.8400000000000034</v>
      </c>
      <c r="I12" s="4">
        <v>-7.0999999999999943</v>
      </c>
      <c r="J12" s="4">
        <v>-5.480000000000004</v>
      </c>
      <c r="K12" s="4">
        <v>-6.9200000000000017</v>
      </c>
      <c r="L12" s="4">
        <v>-2.4200000000000017</v>
      </c>
      <c r="M12" s="4">
        <v>1.1800000000000068</v>
      </c>
      <c r="P12" s="4" t="s">
        <v>22</v>
      </c>
      <c r="Q12">
        <v>1.7199999999999989</v>
      </c>
      <c r="R12">
        <v>0.81999999999999318</v>
      </c>
      <c r="S12">
        <v>-0.25999999999999091</v>
      </c>
      <c r="T12">
        <v>-0.43999999999999773</v>
      </c>
      <c r="U12">
        <v>-4.2199999999999989</v>
      </c>
      <c r="V12">
        <v>-3.5</v>
      </c>
      <c r="W12">
        <v>-5.8400000000000034</v>
      </c>
      <c r="X12">
        <v>-7.0999999999999943</v>
      </c>
      <c r="Y12">
        <v>-5.480000000000004</v>
      </c>
      <c r="Z12">
        <v>-6.9200000000000017</v>
      </c>
      <c r="AA12">
        <v>-2.4200000000000017</v>
      </c>
      <c r="AB12">
        <v>1.1800000000000068</v>
      </c>
    </row>
    <row r="13" spans="1:28" x14ac:dyDescent="0.25">
      <c r="A13" s="4" t="s">
        <v>23</v>
      </c>
      <c r="B13" s="4">
        <v>0.28000000000000114</v>
      </c>
      <c r="C13" s="4">
        <v>-0.62000000000000455</v>
      </c>
      <c r="D13" s="4">
        <v>-1.3400000000000034</v>
      </c>
      <c r="E13" s="4">
        <v>-1.8799999999999955</v>
      </c>
      <c r="F13" s="4">
        <v>-5.6599999999999966</v>
      </c>
      <c r="G13" s="4">
        <v>-5.3000000000000114</v>
      </c>
      <c r="H13" s="4">
        <v>-7.8199999999999932</v>
      </c>
      <c r="I13" s="4">
        <v>-8.539999999999992</v>
      </c>
      <c r="J13" s="4">
        <v>-6.3799999999999955</v>
      </c>
      <c r="K13" s="4">
        <v>-8</v>
      </c>
      <c r="L13" s="4">
        <v>-3.8599999999999994</v>
      </c>
      <c r="M13" s="4">
        <v>-1.1599999999999966</v>
      </c>
      <c r="P13" s="4" t="s">
        <v>23</v>
      </c>
      <c r="Q13">
        <v>0.28000000000000114</v>
      </c>
      <c r="R13">
        <v>-0.62000000000000455</v>
      </c>
      <c r="S13">
        <v>-1.3400000000000034</v>
      </c>
      <c r="T13">
        <v>-1.8799999999999955</v>
      </c>
      <c r="U13">
        <v>-5.6599999999999966</v>
      </c>
      <c r="V13">
        <v>-5.3000000000000114</v>
      </c>
      <c r="W13">
        <v>-7.8199999999999932</v>
      </c>
      <c r="X13">
        <v>-8.539999999999992</v>
      </c>
      <c r="Y13">
        <v>-6.3799999999999955</v>
      </c>
      <c r="Z13">
        <v>-8</v>
      </c>
      <c r="AA13">
        <v>-3.8599999999999994</v>
      </c>
      <c r="AB13">
        <v>-1.1599999999999966</v>
      </c>
    </row>
    <row r="14" spans="1:28" x14ac:dyDescent="0.25">
      <c r="A14" s="4" t="s">
        <v>24</v>
      </c>
      <c r="B14" s="4">
        <v>-0.43999999999999773</v>
      </c>
      <c r="C14" s="4">
        <v>-0.62000000000000455</v>
      </c>
      <c r="D14" s="4">
        <v>-2.2400000000000091</v>
      </c>
      <c r="E14" s="4">
        <v>-2.960000000000008</v>
      </c>
      <c r="F14" s="4">
        <v>-5.8400000000000034</v>
      </c>
      <c r="G14" s="4">
        <v>-5.480000000000004</v>
      </c>
      <c r="H14" s="4">
        <v>-8.539999999999992</v>
      </c>
      <c r="I14" s="4">
        <v>-9.6200000000000045</v>
      </c>
      <c r="J14" s="4">
        <v>-7.6400000000000006</v>
      </c>
      <c r="K14" s="4">
        <v>-9.0800000000000125</v>
      </c>
      <c r="L14" s="4">
        <v>-4.7599999999999909</v>
      </c>
      <c r="M14" s="4">
        <v>-1.519999999999996</v>
      </c>
      <c r="P14" s="4" t="s">
        <v>24</v>
      </c>
      <c r="Q14">
        <v>-0.43999999999999773</v>
      </c>
      <c r="R14">
        <v>-0.62000000000000455</v>
      </c>
      <c r="S14">
        <v>-2.2400000000000091</v>
      </c>
      <c r="T14">
        <v>-2.960000000000008</v>
      </c>
      <c r="U14">
        <v>-5.8400000000000034</v>
      </c>
      <c r="V14">
        <v>-5.480000000000004</v>
      </c>
      <c r="W14">
        <v>-8.539999999999992</v>
      </c>
      <c r="X14">
        <v>-9.6200000000000045</v>
      </c>
      <c r="Y14">
        <v>-7.6400000000000006</v>
      </c>
      <c r="Z14">
        <v>-9.0800000000000125</v>
      </c>
      <c r="AA14">
        <v>-4.7599999999999909</v>
      </c>
      <c r="AB14">
        <v>-1.519999999999996</v>
      </c>
    </row>
    <row r="15" spans="1:28" x14ac:dyDescent="0.25">
      <c r="A15" s="4" t="s">
        <v>25</v>
      </c>
      <c r="B15" s="4">
        <v>-0.62000000000000455</v>
      </c>
      <c r="C15" s="4">
        <v>-1.7000000000000028</v>
      </c>
      <c r="D15" s="4">
        <v>-2.5999999999999943</v>
      </c>
      <c r="E15" s="4">
        <v>-3.3199999999999932</v>
      </c>
      <c r="F15" s="4">
        <v>-6.019999999999996</v>
      </c>
      <c r="G15" s="4">
        <v>-5.8400000000000034</v>
      </c>
      <c r="H15" s="4">
        <v>-8.7199999999999989</v>
      </c>
      <c r="I15" s="4">
        <v>-9.8000000000000114</v>
      </c>
      <c r="J15" s="4">
        <v>-8</v>
      </c>
      <c r="K15" s="4">
        <v>-8.7199999999999989</v>
      </c>
      <c r="L15" s="4">
        <v>-4.9399999999999977</v>
      </c>
      <c r="M15" s="4">
        <v>-2.0600000000000023</v>
      </c>
      <c r="P15" s="4" t="s">
        <v>25</v>
      </c>
      <c r="Q15">
        <v>-0.62000000000000455</v>
      </c>
      <c r="R15">
        <v>-1.7000000000000028</v>
      </c>
      <c r="S15">
        <v>-2.5999999999999943</v>
      </c>
      <c r="T15">
        <v>-3.3199999999999932</v>
      </c>
      <c r="U15">
        <v>-6.019999999999996</v>
      </c>
      <c r="V15">
        <v>-5.8400000000000034</v>
      </c>
      <c r="W15">
        <v>-8.7199999999999989</v>
      </c>
      <c r="X15">
        <v>-9.8000000000000114</v>
      </c>
      <c r="Y15">
        <v>-8</v>
      </c>
      <c r="Z15">
        <v>-8.7199999999999989</v>
      </c>
      <c r="AA15">
        <v>-4.9399999999999977</v>
      </c>
      <c r="AB15">
        <v>-2.0600000000000023</v>
      </c>
    </row>
    <row r="16" spans="1:28" x14ac:dyDescent="0.25">
      <c r="A16" s="4" t="s">
        <v>26</v>
      </c>
      <c r="B16" s="4">
        <v>-0.98000000000000398</v>
      </c>
      <c r="C16" s="4">
        <v>-1.519999999999996</v>
      </c>
      <c r="D16" s="4">
        <v>-2.960000000000008</v>
      </c>
      <c r="E16" s="4">
        <v>-2.960000000000008</v>
      </c>
      <c r="F16" s="4">
        <v>-6.019999999999996</v>
      </c>
      <c r="G16" s="4">
        <v>-6.019999999999996</v>
      </c>
      <c r="H16" s="4">
        <v>-8.7199999999999989</v>
      </c>
      <c r="I16" s="4">
        <v>-9.980000000000004</v>
      </c>
      <c r="J16" s="4">
        <v>-8</v>
      </c>
      <c r="K16" s="4">
        <v>-8.539999999999992</v>
      </c>
      <c r="L16" s="4">
        <v>-4.7599999999999909</v>
      </c>
      <c r="M16" s="4">
        <v>-2.4200000000000017</v>
      </c>
      <c r="P16" s="4" t="s">
        <v>26</v>
      </c>
      <c r="Q16">
        <v>-0.98000000000000398</v>
      </c>
      <c r="R16">
        <v>-1.519999999999996</v>
      </c>
      <c r="S16">
        <v>-2.960000000000008</v>
      </c>
      <c r="T16">
        <v>-2.960000000000008</v>
      </c>
      <c r="U16">
        <v>-6.019999999999996</v>
      </c>
      <c r="V16">
        <v>-6.019999999999996</v>
      </c>
      <c r="W16">
        <v>-8.7199999999999989</v>
      </c>
      <c r="X16">
        <v>-9.980000000000004</v>
      </c>
      <c r="Y16">
        <v>-8</v>
      </c>
      <c r="Z16">
        <v>-8.539999999999992</v>
      </c>
      <c r="AA16">
        <v>-4.7599999999999909</v>
      </c>
      <c r="AB16">
        <v>-2.4200000000000017</v>
      </c>
    </row>
    <row r="17" spans="1:28" x14ac:dyDescent="0.25">
      <c r="A17" s="4" t="s">
        <v>27</v>
      </c>
      <c r="B17" s="4">
        <v>-8.0000000000012506E-2</v>
      </c>
      <c r="C17" s="4">
        <v>-1.519999999999996</v>
      </c>
      <c r="D17" s="4">
        <v>-2.4200000000000017</v>
      </c>
      <c r="E17" s="4">
        <v>-2.960000000000008</v>
      </c>
      <c r="F17" s="4">
        <v>-5.6599999999999966</v>
      </c>
      <c r="G17" s="4">
        <v>-5.3000000000000114</v>
      </c>
      <c r="H17" s="4">
        <v>-8.36</v>
      </c>
      <c r="I17" s="4">
        <v>-9.980000000000004</v>
      </c>
      <c r="J17" s="4">
        <v>-7.8199999999999932</v>
      </c>
      <c r="K17" s="4">
        <v>-8.1800000000000068</v>
      </c>
      <c r="L17" s="4">
        <v>-4.4000000000000057</v>
      </c>
      <c r="M17" s="4">
        <v>-1.519999999999996</v>
      </c>
      <c r="P17" s="4" t="s">
        <v>27</v>
      </c>
      <c r="Q17">
        <v>-8.0000000000012506E-2</v>
      </c>
      <c r="R17">
        <v>-1.519999999999996</v>
      </c>
      <c r="S17">
        <v>-2.4200000000000017</v>
      </c>
      <c r="T17">
        <v>-2.960000000000008</v>
      </c>
      <c r="U17">
        <v>-5.6599999999999966</v>
      </c>
      <c r="V17">
        <v>-5.3000000000000114</v>
      </c>
      <c r="W17">
        <v>-8.36</v>
      </c>
      <c r="X17">
        <v>-9.980000000000004</v>
      </c>
      <c r="Y17">
        <v>-7.8199999999999932</v>
      </c>
      <c r="Z17">
        <v>-8.1800000000000068</v>
      </c>
      <c r="AA17">
        <v>-4.4000000000000057</v>
      </c>
      <c r="AB17">
        <v>-1.519999999999996</v>
      </c>
    </row>
    <row r="18" spans="1:28" x14ac:dyDescent="0.25">
      <c r="A18" s="4" t="s">
        <v>28</v>
      </c>
      <c r="B18" s="4">
        <v>0.64000000000000057</v>
      </c>
      <c r="C18" s="4">
        <v>-0.62000000000000455</v>
      </c>
      <c r="D18" s="4">
        <v>-1.7000000000000028</v>
      </c>
      <c r="E18" s="4">
        <v>-2.4200000000000017</v>
      </c>
      <c r="F18" s="4">
        <v>-4.5800000000000125</v>
      </c>
      <c r="G18" s="4">
        <v>-4.5800000000000125</v>
      </c>
      <c r="H18" s="4">
        <v>-7.2800000000000011</v>
      </c>
      <c r="I18" s="4">
        <v>-8.36</v>
      </c>
      <c r="J18" s="4">
        <v>-6.7400000000000091</v>
      </c>
      <c r="K18" s="4">
        <v>-6.9200000000000017</v>
      </c>
      <c r="L18" s="4">
        <v>-2.960000000000008</v>
      </c>
      <c r="M18" s="4">
        <v>-0.80000000000001137</v>
      </c>
      <c r="P18" s="4" t="s">
        <v>28</v>
      </c>
      <c r="Q18">
        <v>0.64000000000000057</v>
      </c>
      <c r="R18">
        <v>-0.62000000000000455</v>
      </c>
      <c r="S18">
        <v>-1.7000000000000028</v>
      </c>
      <c r="T18">
        <v>-2.4200000000000017</v>
      </c>
      <c r="U18">
        <v>-4.5800000000000125</v>
      </c>
      <c r="V18">
        <v>-4.5800000000000125</v>
      </c>
      <c r="W18">
        <v>-7.2800000000000011</v>
      </c>
      <c r="X18">
        <v>-8.36</v>
      </c>
      <c r="Y18">
        <v>-6.7400000000000091</v>
      </c>
      <c r="Z18">
        <v>-6.9200000000000017</v>
      </c>
      <c r="AA18">
        <v>-2.960000000000008</v>
      </c>
      <c r="AB18">
        <v>-0.80000000000001137</v>
      </c>
    </row>
    <row r="19" spans="1:28" x14ac:dyDescent="0.25">
      <c r="A19" s="4" t="s">
        <v>29</v>
      </c>
      <c r="B19" s="4">
        <v>2.4399999999999977</v>
      </c>
      <c r="C19" s="4">
        <v>1</v>
      </c>
      <c r="D19" s="4">
        <v>-0.25999999999999091</v>
      </c>
      <c r="E19" s="4">
        <v>-0.43999999999999773</v>
      </c>
      <c r="F19" s="4">
        <v>-2.960000000000008</v>
      </c>
      <c r="G19" s="4">
        <v>-3.8599999999999994</v>
      </c>
      <c r="H19" s="4">
        <v>-5.6599999999999966</v>
      </c>
      <c r="I19" s="4">
        <v>-6.7400000000000091</v>
      </c>
      <c r="J19" s="4">
        <v>-5.1200000000000045</v>
      </c>
      <c r="K19" s="4">
        <v>-4.4000000000000057</v>
      </c>
      <c r="L19" s="4">
        <v>-1.3400000000000034</v>
      </c>
      <c r="M19" s="4">
        <v>9.9999999999994316E-2</v>
      </c>
      <c r="P19" s="4" t="s">
        <v>29</v>
      </c>
      <c r="Q19">
        <v>2.4399999999999977</v>
      </c>
      <c r="R19">
        <v>1</v>
      </c>
      <c r="S19">
        <v>-0.25999999999999091</v>
      </c>
      <c r="T19">
        <v>-0.43999999999999773</v>
      </c>
      <c r="U19">
        <v>-2.960000000000008</v>
      </c>
      <c r="V19">
        <v>-3.8599999999999994</v>
      </c>
      <c r="W19">
        <v>-5.6599999999999966</v>
      </c>
      <c r="X19">
        <v>-6.7400000000000091</v>
      </c>
      <c r="Y19">
        <v>-5.1200000000000045</v>
      </c>
      <c r="Z19">
        <v>-4.4000000000000057</v>
      </c>
      <c r="AA19">
        <v>-1.3400000000000034</v>
      </c>
      <c r="AB19">
        <v>9.9999999999994316E-2</v>
      </c>
    </row>
    <row r="20" spans="1:28" x14ac:dyDescent="0.25">
      <c r="A20" s="4" t="s">
        <v>30</v>
      </c>
      <c r="B20" s="4">
        <v>4.4199999999999875</v>
      </c>
      <c r="C20" s="4">
        <v>2.980000000000004</v>
      </c>
      <c r="D20" s="4">
        <v>1.7199999999999989</v>
      </c>
      <c r="E20" s="4">
        <v>1.7199999999999989</v>
      </c>
      <c r="F20" s="4">
        <v>-0.98000000000000398</v>
      </c>
      <c r="G20" s="4">
        <v>-2.0600000000000023</v>
      </c>
      <c r="H20" s="4">
        <v>-3.6800000000000068</v>
      </c>
      <c r="I20" s="4">
        <v>-4.4000000000000057</v>
      </c>
      <c r="J20" s="4">
        <v>-3.8599999999999994</v>
      </c>
      <c r="K20" s="4">
        <v>-2.0600000000000023</v>
      </c>
      <c r="L20" s="4">
        <v>1.1800000000000068</v>
      </c>
      <c r="M20" s="4">
        <v>1.3599999999999994</v>
      </c>
      <c r="P20" s="4" t="s">
        <v>30</v>
      </c>
      <c r="Q20">
        <v>4.4199999999999875</v>
      </c>
      <c r="R20">
        <v>2.980000000000004</v>
      </c>
      <c r="S20">
        <v>1.7199999999999989</v>
      </c>
      <c r="T20">
        <v>1.7199999999999989</v>
      </c>
      <c r="U20">
        <v>-0.98000000000000398</v>
      </c>
      <c r="V20">
        <v>-2.0600000000000023</v>
      </c>
      <c r="W20">
        <v>-3.6800000000000068</v>
      </c>
      <c r="X20">
        <v>-4.4000000000000057</v>
      </c>
      <c r="Y20">
        <v>-3.8599999999999994</v>
      </c>
      <c r="Z20">
        <v>-2.0600000000000023</v>
      </c>
      <c r="AA20">
        <v>1.1800000000000068</v>
      </c>
      <c r="AB20">
        <v>1.3599999999999994</v>
      </c>
    </row>
    <row r="21" spans="1:28" x14ac:dyDescent="0.25">
      <c r="A21" s="4" t="s">
        <v>31</v>
      </c>
      <c r="B21" s="4">
        <v>5.8599999999999994</v>
      </c>
      <c r="C21" s="4">
        <v>4.960000000000008</v>
      </c>
      <c r="D21" s="4">
        <v>4.2400000000000091</v>
      </c>
      <c r="E21" s="4">
        <v>4.4199999999999875</v>
      </c>
      <c r="F21" s="4">
        <v>1</v>
      </c>
      <c r="G21" s="4">
        <v>-0.25999999999999091</v>
      </c>
      <c r="H21" s="4">
        <v>-1.3400000000000034</v>
      </c>
      <c r="I21" s="4">
        <v>-1.7000000000000028</v>
      </c>
      <c r="J21" s="4">
        <v>-2.2400000000000091</v>
      </c>
      <c r="K21" s="4">
        <v>-0.43999999999999773</v>
      </c>
      <c r="L21" s="4">
        <v>2.0799999999999983</v>
      </c>
      <c r="M21" s="4">
        <v>2.6200000000000045</v>
      </c>
      <c r="P21" s="4" t="s">
        <v>31</v>
      </c>
      <c r="Q21">
        <v>5.8599999999999994</v>
      </c>
      <c r="R21">
        <v>4.960000000000008</v>
      </c>
      <c r="S21">
        <v>4.2400000000000091</v>
      </c>
      <c r="T21">
        <v>4.4199999999999875</v>
      </c>
      <c r="U21">
        <v>1</v>
      </c>
      <c r="V21">
        <v>-0.25999999999999091</v>
      </c>
      <c r="W21">
        <v>-1.3400000000000034</v>
      </c>
      <c r="X21">
        <v>-1.7000000000000028</v>
      </c>
      <c r="Y21">
        <v>-2.2400000000000091</v>
      </c>
      <c r="Z21">
        <v>-0.43999999999999773</v>
      </c>
      <c r="AA21">
        <v>2.0799999999999983</v>
      </c>
      <c r="AB21">
        <v>2.6200000000000045</v>
      </c>
    </row>
    <row r="22" spans="1:28" x14ac:dyDescent="0.25">
      <c r="A22" s="4" t="s">
        <v>32</v>
      </c>
      <c r="B22" s="4">
        <v>6.5799999999999983</v>
      </c>
      <c r="C22" s="4">
        <v>5.6800000000000068</v>
      </c>
      <c r="D22" s="4">
        <v>5.5</v>
      </c>
      <c r="E22" s="4">
        <v>5.3199999999999932</v>
      </c>
      <c r="F22" s="4">
        <v>2.4399999999999977</v>
      </c>
      <c r="G22" s="4">
        <v>1.539999999999992</v>
      </c>
      <c r="H22" s="4">
        <v>-8.0000000000012506E-2</v>
      </c>
      <c r="I22" s="4">
        <v>-0.43999999999999773</v>
      </c>
      <c r="J22" s="4">
        <v>-0.80000000000001137</v>
      </c>
      <c r="K22" s="4">
        <v>9.9999999999994316E-2</v>
      </c>
      <c r="L22" s="4">
        <v>2.6200000000000045</v>
      </c>
      <c r="M22" s="4">
        <v>3.8799999999999955</v>
      </c>
      <c r="P22" s="4" t="s">
        <v>32</v>
      </c>
      <c r="Q22">
        <v>6.5799999999999983</v>
      </c>
      <c r="R22">
        <v>5.6800000000000068</v>
      </c>
      <c r="S22">
        <v>5.5</v>
      </c>
      <c r="T22">
        <v>5.3199999999999932</v>
      </c>
      <c r="U22">
        <v>2.4399999999999977</v>
      </c>
      <c r="V22">
        <v>1.539999999999992</v>
      </c>
      <c r="W22">
        <v>-8.0000000000012506E-2</v>
      </c>
      <c r="X22">
        <v>-0.43999999999999773</v>
      </c>
      <c r="Y22">
        <v>-0.80000000000001137</v>
      </c>
      <c r="Z22">
        <v>9.9999999999994316E-2</v>
      </c>
      <c r="AA22">
        <v>2.6200000000000045</v>
      </c>
      <c r="AB22">
        <v>3.8799999999999955</v>
      </c>
    </row>
    <row r="23" spans="1:28" x14ac:dyDescent="0.25">
      <c r="A23" s="4" t="s">
        <v>33</v>
      </c>
      <c r="B23" s="4">
        <v>6.9399999999999977</v>
      </c>
      <c r="C23" s="4">
        <v>6.5799999999999983</v>
      </c>
      <c r="D23" s="4">
        <v>6.2199999999999989</v>
      </c>
      <c r="E23" s="4">
        <v>5.3199999999999932</v>
      </c>
      <c r="F23" s="4">
        <v>2.7999999999999972</v>
      </c>
      <c r="G23" s="4">
        <v>1.7199999999999989</v>
      </c>
      <c r="H23" s="4">
        <v>0.28000000000000114</v>
      </c>
      <c r="I23" s="4">
        <v>9.9999999999994316E-2</v>
      </c>
      <c r="J23" s="4">
        <v>-0.62000000000000455</v>
      </c>
      <c r="K23" s="4">
        <v>0.64000000000000057</v>
      </c>
      <c r="L23" s="4">
        <v>2.980000000000004</v>
      </c>
      <c r="M23" s="4">
        <v>4.4199999999999875</v>
      </c>
      <c r="P23" s="4" t="s">
        <v>33</v>
      </c>
      <c r="Q23">
        <v>6.9399999999999977</v>
      </c>
      <c r="R23">
        <v>6.5799999999999983</v>
      </c>
      <c r="S23">
        <v>6.2199999999999989</v>
      </c>
      <c r="T23">
        <v>5.3199999999999932</v>
      </c>
      <c r="U23">
        <v>2.7999999999999972</v>
      </c>
      <c r="V23">
        <v>1.7199999999999989</v>
      </c>
      <c r="W23">
        <v>0.28000000000000114</v>
      </c>
      <c r="X23">
        <v>9.9999999999994316E-2</v>
      </c>
      <c r="Y23">
        <v>-0.62000000000000455</v>
      </c>
      <c r="Z23">
        <v>0.64000000000000057</v>
      </c>
      <c r="AA23">
        <v>2.980000000000004</v>
      </c>
      <c r="AB23">
        <v>4.4199999999999875</v>
      </c>
    </row>
    <row r="24" spans="1:28" x14ac:dyDescent="0.25">
      <c r="A24" s="4" t="s">
        <v>34</v>
      </c>
      <c r="B24" s="4">
        <v>7.480000000000004</v>
      </c>
      <c r="C24" s="4">
        <v>7.1200000000000045</v>
      </c>
      <c r="D24" s="4">
        <v>6.9399999999999977</v>
      </c>
      <c r="E24" s="4">
        <v>5.6800000000000068</v>
      </c>
      <c r="F24" s="4">
        <v>3.3400000000000034</v>
      </c>
      <c r="G24" s="4">
        <v>1.9000000000000057</v>
      </c>
      <c r="H24" s="4">
        <v>0.64000000000000057</v>
      </c>
      <c r="I24" s="4">
        <v>0.46000000000000796</v>
      </c>
      <c r="J24" s="4">
        <v>-0.25999999999999091</v>
      </c>
      <c r="K24" s="4">
        <v>1.539999999999992</v>
      </c>
      <c r="L24" s="4">
        <v>3.519999999999996</v>
      </c>
      <c r="M24" s="4">
        <v>4.7800000000000011</v>
      </c>
      <c r="P24" s="4" t="s">
        <v>34</v>
      </c>
      <c r="Q24">
        <v>7.480000000000004</v>
      </c>
      <c r="R24">
        <v>7.1200000000000045</v>
      </c>
      <c r="S24">
        <v>6.9399999999999977</v>
      </c>
      <c r="T24">
        <v>5.6800000000000068</v>
      </c>
      <c r="U24">
        <v>3.3400000000000034</v>
      </c>
      <c r="V24">
        <v>1.9000000000000057</v>
      </c>
      <c r="W24">
        <v>0.64000000000000057</v>
      </c>
      <c r="X24">
        <v>0.46000000000000796</v>
      </c>
      <c r="Y24">
        <v>-0.25999999999999091</v>
      </c>
      <c r="Z24">
        <v>1.539999999999992</v>
      </c>
      <c r="AA24">
        <v>3.519999999999996</v>
      </c>
      <c r="AB24">
        <v>4.7800000000000011</v>
      </c>
    </row>
    <row r="25" spans="1:28" x14ac:dyDescent="0.25">
      <c r="A25" s="4" t="s">
        <v>35</v>
      </c>
      <c r="B25" s="4">
        <v>8.1999999999999886</v>
      </c>
      <c r="C25" s="4">
        <v>7.6599999999999966</v>
      </c>
      <c r="D25" s="4">
        <v>7.6599999999999966</v>
      </c>
      <c r="E25" s="4">
        <v>6.2199999999999989</v>
      </c>
      <c r="F25" s="4">
        <v>3.8799999999999955</v>
      </c>
      <c r="G25" s="4">
        <v>2.0799999999999983</v>
      </c>
      <c r="H25" s="4">
        <v>0.81999999999999318</v>
      </c>
      <c r="I25" s="4">
        <v>0.81999999999999318</v>
      </c>
      <c r="J25" s="4">
        <v>9.9999999999994316E-2</v>
      </c>
      <c r="K25" s="4">
        <v>2.2599999999999909</v>
      </c>
      <c r="L25" s="4">
        <v>4.2400000000000091</v>
      </c>
      <c r="M25" s="4">
        <v>5.3199999999999932</v>
      </c>
      <c r="P25" s="4" t="s">
        <v>35</v>
      </c>
      <c r="Q25">
        <v>8.1999999999999886</v>
      </c>
      <c r="R25">
        <v>7.6599999999999966</v>
      </c>
      <c r="S25">
        <v>7.6599999999999966</v>
      </c>
      <c r="T25">
        <v>6.2199999999999989</v>
      </c>
      <c r="U25">
        <v>3.8799999999999955</v>
      </c>
      <c r="V25">
        <v>2.0799999999999983</v>
      </c>
      <c r="W25">
        <v>0.81999999999999318</v>
      </c>
      <c r="X25">
        <v>0.81999999999999318</v>
      </c>
      <c r="Y25">
        <v>9.9999999999994316E-2</v>
      </c>
      <c r="Z25">
        <v>2.2599999999999909</v>
      </c>
      <c r="AA25">
        <v>4.2400000000000091</v>
      </c>
      <c r="AB25">
        <v>5.3199999999999932</v>
      </c>
    </row>
    <row r="26" spans="1:28" x14ac:dyDescent="0.25">
      <c r="A26" s="4" t="s">
        <v>36</v>
      </c>
      <c r="B26" s="4">
        <v>8.3799999999999955</v>
      </c>
      <c r="C26" s="4">
        <v>8.3799999999999955</v>
      </c>
      <c r="D26" s="4">
        <v>8.1999999999999886</v>
      </c>
      <c r="E26" s="4">
        <v>6.5799999999999983</v>
      </c>
      <c r="F26" s="4">
        <v>4.2400000000000091</v>
      </c>
      <c r="G26" s="4">
        <v>2.4399999999999977</v>
      </c>
      <c r="H26" s="4">
        <v>1.1800000000000068</v>
      </c>
      <c r="I26" s="4">
        <v>1</v>
      </c>
      <c r="J26" s="4">
        <v>0.28000000000000114</v>
      </c>
      <c r="K26" s="4">
        <v>2.7999999999999972</v>
      </c>
      <c r="L26" s="4">
        <v>4.5999999999999943</v>
      </c>
      <c r="M26" s="4">
        <v>5.8599999999999994</v>
      </c>
      <c r="P26" s="4" t="s">
        <v>36</v>
      </c>
      <c r="Q26">
        <v>8.3799999999999955</v>
      </c>
      <c r="R26">
        <v>8.3799999999999955</v>
      </c>
      <c r="S26">
        <v>8.1999999999999886</v>
      </c>
      <c r="T26">
        <v>6.5799999999999983</v>
      </c>
      <c r="U26">
        <v>4.2400000000000091</v>
      </c>
      <c r="V26">
        <v>2.4399999999999977</v>
      </c>
      <c r="W26">
        <v>1.1800000000000068</v>
      </c>
      <c r="X26">
        <v>1</v>
      </c>
      <c r="Y26">
        <v>0.28000000000000114</v>
      </c>
      <c r="Z26">
        <v>2.7999999999999972</v>
      </c>
      <c r="AA26">
        <v>4.5999999999999943</v>
      </c>
      <c r="AB26">
        <v>5.8599999999999994</v>
      </c>
    </row>
    <row r="29" spans="1:28" x14ac:dyDescent="0.25">
      <c r="A29" s="4" t="s">
        <v>55</v>
      </c>
    </row>
    <row r="30" spans="1:28" x14ac:dyDescent="0.25">
      <c r="A30">
        <f>Entry!B29</f>
        <v>2040.268</v>
      </c>
      <c r="P30" s="4">
        <f>Entry!Q29</f>
        <v>2192.3679999999999</v>
      </c>
    </row>
    <row r="31" spans="1:28" s="4" customFormat="1" x14ac:dyDescent="0.25"/>
    <row r="32" spans="1:28" x14ac:dyDescent="0.25">
      <c r="A32" s="4" t="s">
        <v>56</v>
      </c>
    </row>
    <row r="33" spans="1:28" x14ac:dyDescent="0.25">
      <c r="B33" s="4" t="s">
        <v>1</v>
      </c>
      <c r="C33" s="4" t="s">
        <v>2</v>
      </c>
      <c r="D33" s="4" t="s">
        <v>3</v>
      </c>
      <c r="E33" s="4" t="s">
        <v>4</v>
      </c>
      <c r="F33" s="4" t="s">
        <v>5</v>
      </c>
      <c r="G33" s="4" t="s">
        <v>6</v>
      </c>
      <c r="H33" s="4" t="s">
        <v>7</v>
      </c>
      <c r="I33" s="4" t="s">
        <v>8</v>
      </c>
      <c r="J33" s="4" t="s">
        <v>9</v>
      </c>
      <c r="K33" s="4" t="s">
        <v>10</v>
      </c>
      <c r="L33" s="4" t="s">
        <v>11</v>
      </c>
      <c r="M33" s="4" t="s">
        <v>12</v>
      </c>
      <c r="P33" s="4"/>
      <c r="Q33" s="4" t="s">
        <v>1</v>
      </c>
      <c r="R33" s="4" t="s">
        <v>2</v>
      </c>
      <c r="S33" s="4" t="s">
        <v>3</v>
      </c>
      <c r="T33" s="4" t="s">
        <v>4</v>
      </c>
      <c r="U33" s="4" t="s">
        <v>5</v>
      </c>
      <c r="V33" s="4" t="s">
        <v>6</v>
      </c>
      <c r="W33" s="4" t="s">
        <v>7</v>
      </c>
      <c r="X33" s="4" t="s">
        <v>8</v>
      </c>
      <c r="Y33" s="4" t="s">
        <v>9</v>
      </c>
      <c r="Z33" s="4" t="s">
        <v>10</v>
      </c>
      <c r="AA33" s="4" t="s">
        <v>11</v>
      </c>
      <c r="AB33" s="4" t="s">
        <v>12</v>
      </c>
    </row>
    <row r="34" spans="1:28" x14ac:dyDescent="0.25">
      <c r="A34" s="4" t="s">
        <v>13</v>
      </c>
      <c r="B34">
        <v>-17831.94232000002</v>
      </c>
      <c r="C34">
        <v>-18199.190559999974</v>
      </c>
      <c r="D34">
        <v>-17464.694080000005</v>
      </c>
      <c r="E34">
        <v>-14159.459919999996</v>
      </c>
      <c r="F34">
        <v>-10119.729280000016</v>
      </c>
      <c r="G34">
        <v>-5712.7503999999944</v>
      </c>
      <c r="H34">
        <v>-2774.7644799999989</v>
      </c>
      <c r="I34">
        <v>-2774.7644799999989</v>
      </c>
      <c r="J34">
        <v>-1673.019759999986</v>
      </c>
      <c r="K34">
        <v>-6814.4951200000069</v>
      </c>
      <c r="L34">
        <v>-10119.729280000016</v>
      </c>
      <c r="M34">
        <v>-13057.715200000011</v>
      </c>
      <c r="P34" s="4" t="s">
        <v>13</v>
      </c>
      <c r="Q34" s="4">
        <v>-19161.296320000019</v>
      </c>
      <c r="R34" s="4">
        <v>-19555.922559999974</v>
      </c>
      <c r="S34" s="4">
        <v>-18766.670080000004</v>
      </c>
      <c r="T34" s="4">
        <v>-15215.033919999994</v>
      </c>
      <c r="U34" s="4">
        <v>-10874.145280000017</v>
      </c>
      <c r="V34" s="4">
        <v>-6138.6303999999936</v>
      </c>
      <c r="W34" s="4">
        <v>-2981.6204799999987</v>
      </c>
      <c r="X34" s="4">
        <v>-2981.6204799999987</v>
      </c>
      <c r="Y34" s="4">
        <v>-1797.7417599999851</v>
      </c>
      <c r="Z34" s="4">
        <v>-7322.509120000007</v>
      </c>
      <c r="AA34" s="4">
        <v>-10874.145280000017</v>
      </c>
      <c r="AB34" s="4">
        <v>-14031.155200000012</v>
      </c>
    </row>
    <row r="35" spans="1:28" x14ac:dyDescent="0.25">
      <c r="A35" s="4" t="s">
        <v>14</v>
      </c>
      <c r="B35">
        <v>-18933.687040000004</v>
      </c>
      <c r="C35">
        <v>-18199.190559999974</v>
      </c>
      <c r="D35">
        <v>-18933.687040000004</v>
      </c>
      <c r="E35">
        <v>-14526.708160000009</v>
      </c>
      <c r="F35">
        <v>-11221.474</v>
      </c>
      <c r="G35">
        <v>-6079.998640000008</v>
      </c>
      <c r="H35">
        <v>-3142.0127199999838</v>
      </c>
      <c r="I35">
        <v>-3509.2609599999978</v>
      </c>
      <c r="J35">
        <v>-2040.268</v>
      </c>
      <c r="K35">
        <v>-8283.4880800000046</v>
      </c>
      <c r="L35">
        <v>-10854.225759999987</v>
      </c>
      <c r="M35">
        <v>-14893.956399999994</v>
      </c>
      <c r="P35" s="4" t="s">
        <v>14</v>
      </c>
      <c r="Q35" s="4">
        <v>-20345.175040000002</v>
      </c>
      <c r="R35" s="4">
        <v>-19555.922559999974</v>
      </c>
      <c r="S35" s="4">
        <v>-20345.175040000002</v>
      </c>
      <c r="T35" s="4">
        <v>-15609.66016000001</v>
      </c>
      <c r="U35" s="4">
        <v>-12058.023999999999</v>
      </c>
      <c r="V35" s="4">
        <v>-6533.2566400000087</v>
      </c>
      <c r="W35" s="4">
        <v>-3376.2467199999824</v>
      </c>
      <c r="X35" s="4">
        <v>-3770.8729599999974</v>
      </c>
      <c r="Y35" s="4">
        <v>-2192.3679999999999</v>
      </c>
      <c r="Z35" s="4">
        <v>-8901.0140800000045</v>
      </c>
      <c r="AA35" s="4">
        <v>-11663.397759999985</v>
      </c>
      <c r="AB35" s="4">
        <v>-16004.286399999994</v>
      </c>
    </row>
    <row r="36" spans="1:28" x14ac:dyDescent="0.25">
      <c r="A36" s="4" t="s">
        <v>15</v>
      </c>
      <c r="B36">
        <v>-19668.183520000002</v>
      </c>
      <c r="C36">
        <v>-19300.935280000016</v>
      </c>
      <c r="D36">
        <v>-19300.935280000016</v>
      </c>
      <c r="E36">
        <v>-15995.701120000007</v>
      </c>
      <c r="F36">
        <v>-11955.970479999998</v>
      </c>
      <c r="G36">
        <v>-6814.4951200000069</v>
      </c>
      <c r="H36">
        <v>-3509.2609599999978</v>
      </c>
      <c r="I36">
        <v>-4243.7574399999967</v>
      </c>
      <c r="J36">
        <v>-2774.7644799999989</v>
      </c>
      <c r="K36">
        <v>-9017.9845599999753</v>
      </c>
      <c r="L36">
        <v>-11221.474</v>
      </c>
      <c r="M36">
        <v>-15261.204640000009</v>
      </c>
      <c r="P36" s="4" t="s">
        <v>15</v>
      </c>
      <c r="Q36" s="4">
        <v>-21134.427520000001</v>
      </c>
      <c r="R36" s="4">
        <v>-20739.801280000018</v>
      </c>
      <c r="S36" s="4">
        <v>-20739.801280000018</v>
      </c>
      <c r="T36" s="4">
        <v>-17188.165120000009</v>
      </c>
      <c r="U36" s="4">
        <v>-12847.276479999999</v>
      </c>
      <c r="V36" s="4">
        <v>-7322.509120000007</v>
      </c>
      <c r="W36" s="4">
        <v>-3770.8729599999974</v>
      </c>
      <c r="X36" s="4">
        <v>-4560.1254399999962</v>
      </c>
      <c r="Y36" s="4">
        <v>-2981.6204799999987</v>
      </c>
      <c r="Z36" s="4">
        <v>-9690.2665599999727</v>
      </c>
      <c r="AA36" s="4">
        <v>-12058.023999999999</v>
      </c>
      <c r="AB36" s="4">
        <v>-16398.91264000001</v>
      </c>
    </row>
    <row r="37" spans="1:28" x14ac:dyDescent="0.25">
      <c r="A37" s="4" t="s">
        <v>16</v>
      </c>
      <c r="B37">
        <v>-20035.431759999985</v>
      </c>
      <c r="C37">
        <v>-20402.68</v>
      </c>
      <c r="D37">
        <v>-20769.928240000016</v>
      </c>
      <c r="E37">
        <v>-16730.197599999978</v>
      </c>
      <c r="F37">
        <v>-13057.715200000011</v>
      </c>
      <c r="G37">
        <v>-7548.9915999999766</v>
      </c>
      <c r="H37">
        <v>-4243.7574399999967</v>
      </c>
      <c r="I37">
        <v>-5345.5021600000091</v>
      </c>
      <c r="J37">
        <v>-3509.2609599999978</v>
      </c>
      <c r="K37">
        <v>-9752.4810400000024</v>
      </c>
      <c r="L37">
        <v>-12323.218719999984</v>
      </c>
      <c r="M37">
        <v>-15628.452879999993</v>
      </c>
      <c r="P37" s="4" t="s">
        <v>16</v>
      </c>
      <c r="Q37" s="4">
        <v>-21529.053759999984</v>
      </c>
      <c r="R37" s="4">
        <v>-21923.68</v>
      </c>
      <c r="S37" s="4">
        <v>-22318.306240000013</v>
      </c>
      <c r="T37" s="4">
        <v>-17977.417599999975</v>
      </c>
      <c r="U37" s="4">
        <v>-14031.155200000012</v>
      </c>
      <c r="V37" s="4">
        <v>-8111.7615999999753</v>
      </c>
      <c r="W37" s="4">
        <v>-4560.1254399999962</v>
      </c>
      <c r="X37" s="4">
        <v>-5744.0041600000095</v>
      </c>
      <c r="Y37" s="4">
        <v>-3770.8729599999974</v>
      </c>
      <c r="Z37" s="4">
        <v>-10479.519040000003</v>
      </c>
      <c r="AA37" s="4">
        <v>-13241.902719999982</v>
      </c>
      <c r="AB37" s="4">
        <v>-16793.538879999993</v>
      </c>
    </row>
    <row r="38" spans="1:28" x14ac:dyDescent="0.25">
      <c r="A38" s="4" t="s">
        <v>17</v>
      </c>
      <c r="B38">
        <v>-20769.928240000016</v>
      </c>
      <c r="C38">
        <v>-21137.176479999998</v>
      </c>
      <c r="D38">
        <v>-20769.928240000016</v>
      </c>
      <c r="E38">
        <v>-16730.197599999978</v>
      </c>
      <c r="F38">
        <v>-13057.715200000011</v>
      </c>
      <c r="G38">
        <v>-8283.4880800000046</v>
      </c>
      <c r="H38">
        <v>-4243.7574399999967</v>
      </c>
      <c r="I38">
        <v>-5712.7503999999944</v>
      </c>
      <c r="J38">
        <v>-4243.7574399999967</v>
      </c>
      <c r="K38">
        <v>-10854.225759999987</v>
      </c>
      <c r="L38">
        <v>-12323.218719999984</v>
      </c>
      <c r="M38">
        <v>-15995.701120000007</v>
      </c>
      <c r="P38" s="4" t="s">
        <v>17</v>
      </c>
      <c r="Q38" s="4">
        <v>-22318.306240000013</v>
      </c>
      <c r="R38" s="4">
        <v>-22712.932479999999</v>
      </c>
      <c r="S38" s="4">
        <v>-22318.306240000013</v>
      </c>
      <c r="T38" s="4">
        <v>-17977.417599999975</v>
      </c>
      <c r="U38" s="4">
        <v>-14031.155200000012</v>
      </c>
      <c r="V38" s="4">
        <v>-8901.0140800000045</v>
      </c>
      <c r="W38" s="4">
        <v>-4560.1254399999962</v>
      </c>
      <c r="X38" s="4">
        <v>-6138.6303999999936</v>
      </c>
      <c r="Y38" s="4">
        <v>-4560.1254399999962</v>
      </c>
      <c r="Z38" s="4">
        <v>-11663.397759999985</v>
      </c>
      <c r="AA38" s="4">
        <v>-13241.902719999982</v>
      </c>
      <c r="AB38" s="4">
        <v>-17188.165120000009</v>
      </c>
    </row>
    <row r="39" spans="1:28" x14ac:dyDescent="0.25">
      <c r="A39" s="4" t="s">
        <v>18</v>
      </c>
      <c r="B39">
        <v>-21137.176479999998</v>
      </c>
      <c r="C39">
        <v>-21504.424719999985</v>
      </c>
      <c r="D39">
        <v>-20769.928240000016</v>
      </c>
      <c r="E39">
        <v>-17097.445839999989</v>
      </c>
      <c r="F39">
        <v>-13057.715200000011</v>
      </c>
      <c r="G39">
        <v>-5345.5021600000091</v>
      </c>
      <c r="H39">
        <v>-4243.7574399999967</v>
      </c>
      <c r="I39">
        <v>-6079.998640000008</v>
      </c>
      <c r="J39">
        <v>-3509.2609599999978</v>
      </c>
      <c r="K39">
        <v>-11588.722240000014</v>
      </c>
      <c r="L39">
        <v>-13057.715200000011</v>
      </c>
      <c r="M39">
        <v>-14893.956399999994</v>
      </c>
      <c r="P39" s="4" t="s">
        <v>18</v>
      </c>
      <c r="Q39" s="4">
        <v>-22712.932479999999</v>
      </c>
      <c r="R39" s="4">
        <v>-23107.558719999983</v>
      </c>
      <c r="S39" s="4">
        <v>-22318.306240000013</v>
      </c>
      <c r="T39" s="4">
        <v>-18372.043839999991</v>
      </c>
      <c r="U39" s="4">
        <v>-14031.155200000012</v>
      </c>
      <c r="V39" s="4">
        <v>-5744.0041600000095</v>
      </c>
      <c r="W39" s="4">
        <v>-4560.1254399999962</v>
      </c>
      <c r="X39" s="4">
        <v>-6533.2566400000087</v>
      </c>
      <c r="Y39" s="4">
        <v>-3770.8729599999974</v>
      </c>
      <c r="Z39" s="4">
        <v>-12452.650240000015</v>
      </c>
      <c r="AA39" s="4">
        <v>-14031.155200000012</v>
      </c>
      <c r="AB39" s="4">
        <v>-16004.286399999994</v>
      </c>
    </row>
    <row r="40" spans="1:28" x14ac:dyDescent="0.25">
      <c r="A40" s="4" t="s">
        <v>19</v>
      </c>
      <c r="B40">
        <v>-21871.672959999996</v>
      </c>
      <c r="C40">
        <v>-21871.672959999996</v>
      </c>
      <c r="D40">
        <v>-20402.68</v>
      </c>
      <c r="E40">
        <v>-15261.204640000009</v>
      </c>
      <c r="F40">
        <v>-8283.4880800000046</v>
      </c>
      <c r="G40">
        <v>-2774.7644799999989</v>
      </c>
      <c r="H40">
        <v>-1673.019759999986</v>
      </c>
      <c r="I40">
        <v>-4243.7574399999967</v>
      </c>
      <c r="J40">
        <v>-2774.7644799999989</v>
      </c>
      <c r="K40">
        <v>-10486.977520000002</v>
      </c>
      <c r="L40">
        <v>-11955.970479999998</v>
      </c>
      <c r="M40">
        <v>-13792.211679999982</v>
      </c>
      <c r="P40" s="4" t="s">
        <v>19</v>
      </c>
      <c r="Q40" s="4">
        <v>-23502.184959999995</v>
      </c>
      <c r="R40" s="4">
        <v>-23502.184959999995</v>
      </c>
      <c r="S40" s="4">
        <v>-21923.68</v>
      </c>
      <c r="T40" s="4">
        <v>-16398.91264000001</v>
      </c>
      <c r="U40" s="4">
        <v>-8901.0140800000045</v>
      </c>
      <c r="V40" s="4">
        <v>-2981.6204799999987</v>
      </c>
      <c r="W40" s="4">
        <v>-1797.7417599999851</v>
      </c>
      <c r="X40" s="4">
        <v>-4560.1254399999962</v>
      </c>
      <c r="Y40" s="4">
        <v>-2981.6204799999987</v>
      </c>
      <c r="Z40" s="4">
        <v>-11268.77152</v>
      </c>
      <c r="AA40" s="4">
        <v>-12847.276479999999</v>
      </c>
      <c r="AB40" s="4">
        <v>-14820.40767999998</v>
      </c>
    </row>
    <row r="41" spans="1:28" x14ac:dyDescent="0.25">
      <c r="A41" s="4" t="s">
        <v>20</v>
      </c>
      <c r="B41">
        <v>-18199.190559999974</v>
      </c>
      <c r="C41">
        <v>-16362.949359999991</v>
      </c>
      <c r="D41">
        <v>-13057.715200000011</v>
      </c>
      <c r="E41">
        <v>-8283.4880800000046</v>
      </c>
      <c r="F41">
        <v>-938.52328000001626</v>
      </c>
      <c r="G41">
        <v>-204.02679999998841</v>
      </c>
      <c r="H41">
        <v>3835.7038399999906</v>
      </c>
      <c r="I41">
        <v>3468.4556000000057</v>
      </c>
      <c r="J41">
        <v>2366.7108799999933</v>
      </c>
      <c r="K41">
        <v>1632.2144000000233</v>
      </c>
      <c r="L41">
        <v>-5345.5021600000091</v>
      </c>
      <c r="M41">
        <v>-12323.218719999984</v>
      </c>
      <c r="P41" s="4" t="s">
        <v>20</v>
      </c>
      <c r="Q41" s="4">
        <v>-19555.922559999974</v>
      </c>
      <c r="R41" s="4">
        <v>-17582.791359999992</v>
      </c>
      <c r="S41" s="4">
        <v>-14031.155200000012</v>
      </c>
      <c r="T41" s="4">
        <v>-8901.0140800000045</v>
      </c>
      <c r="U41" s="4">
        <v>-1008.4892800000174</v>
      </c>
      <c r="V41" s="4">
        <v>-219.23679999998754</v>
      </c>
      <c r="W41" s="4">
        <v>4121.6518399999895</v>
      </c>
      <c r="X41" s="4">
        <v>3727.0256000000063</v>
      </c>
      <c r="Y41" s="4">
        <v>2543.1468799999925</v>
      </c>
      <c r="Z41" s="4">
        <v>1753.8944000000249</v>
      </c>
      <c r="AA41" s="4">
        <v>-5744.0041600000095</v>
      </c>
      <c r="AB41" s="4">
        <v>-13241.902719999982</v>
      </c>
    </row>
    <row r="42" spans="1:28" x14ac:dyDescent="0.25">
      <c r="A42" s="4" t="s">
        <v>21</v>
      </c>
      <c r="B42">
        <v>-9385.2327999999889</v>
      </c>
      <c r="C42">
        <v>-7181.7433599999922</v>
      </c>
      <c r="D42">
        <v>-4611.0056799999811</v>
      </c>
      <c r="E42">
        <v>-3876.5092000000118</v>
      </c>
      <c r="F42">
        <v>4570.200320000019</v>
      </c>
      <c r="G42">
        <v>3468.4556000000057</v>
      </c>
      <c r="H42">
        <v>9344.4274400000249</v>
      </c>
      <c r="I42">
        <v>10078.923919999996</v>
      </c>
      <c r="J42">
        <v>7140.9380000000001</v>
      </c>
      <c r="K42">
        <v>9344.4274400000249</v>
      </c>
      <c r="L42">
        <v>163.22144000002552</v>
      </c>
      <c r="M42">
        <v>-7548.9915999999766</v>
      </c>
      <c r="P42" s="4" t="s">
        <v>21</v>
      </c>
      <c r="Q42" s="4">
        <v>-10084.892799999987</v>
      </c>
      <c r="R42" s="4">
        <v>-7717.1353599999911</v>
      </c>
      <c r="S42" s="4">
        <v>-4954.7516799999803</v>
      </c>
      <c r="T42" s="4">
        <v>-4165.499200000012</v>
      </c>
      <c r="U42" s="4">
        <v>4910.9043200000197</v>
      </c>
      <c r="V42" s="4">
        <v>3727.0256000000063</v>
      </c>
      <c r="W42" s="4">
        <v>10041.045440000027</v>
      </c>
      <c r="X42" s="4">
        <v>10830.297919999995</v>
      </c>
      <c r="Y42" s="4">
        <v>7673.2879999999996</v>
      </c>
      <c r="Z42" s="4">
        <v>10041.045440000027</v>
      </c>
      <c r="AA42" s="4">
        <v>175.38944000002741</v>
      </c>
      <c r="AB42" s="4">
        <v>-8111.7615999999753</v>
      </c>
    </row>
    <row r="43" spans="1:28" x14ac:dyDescent="0.25">
      <c r="A43" s="4" t="s">
        <v>22</v>
      </c>
      <c r="B43">
        <v>-3509.2609599999978</v>
      </c>
      <c r="C43">
        <v>-1673.019759999986</v>
      </c>
      <c r="D43">
        <v>530.46967999998139</v>
      </c>
      <c r="E43">
        <v>897.71791999999539</v>
      </c>
      <c r="F43">
        <v>8609.9309599999979</v>
      </c>
      <c r="G43">
        <v>7140.9380000000001</v>
      </c>
      <c r="H43">
        <v>11915.165120000007</v>
      </c>
      <c r="I43">
        <v>14485.902799999989</v>
      </c>
      <c r="J43">
        <v>11180.668640000009</v>
      </c>
      <c r="K43">
        <v>14118.654560000004</v>
      </c>
      <c r="L43">
        <v>4937.4485600000035</v>
      </c>
      <c r="M43">
        <v>-2407.516240000014</v>
      </c>
      <c r="P43" s="4" t="s">
        <v>22</v>
      </c>
      <c r="Q43" s="4">
        <v>-3770.8729599999974</v>
      </c>
      <c r="R43" s="4">
        <v>-1797.7417599999851</v>
      </c>
      <c r="S43" s="4">
        <v>570.01567999998008</v>
      </c>
      <c r="T43" s="4">
        <v>964.64191999999503</v>
      </c>
      <c r="U43" s="4">
        <v>9251.792959999997</v>
      </c>
      <c r="V43" s="4">
        <v>7673.2879999999996</v>
      </c>
      <c r="W43" s="4">
        <v>12803.429120000008</v>
      </c>
      <c r="X43" s="4">
        <v>15565.812799999987</v>
      </c>
      <c r="Y43" s="4">
        <v>12014.176640000009</v>
      </c>
      <c r="Z43" s="4">
        <v>15171.186560000004</v>
      </c>
      <c r="AA43" s="4">
        <v>5305.5305600000038</v>
      </c>
      <c r="AB43" s="4">
        <v>-2586.994240000015</v>
      </c>
    </row>
    <row r="44" spans="1:28" x14ac:dyDescent="0.25">
      <c r="A44" s="4" t="s">
        <v>23</v>
      </c>
      <c r="B44">
        <v>-571.27504000000238</v>
      </c>
      <c r="C44">
        <v>1264.9661600000093</v>
      </c>
      <c r="D44">
        <v>2733.9591200000068</v>
      </c>
      <c r="E44">
        <v>3835.7038399999906</v>
      </c>
      <c r="F44">
        <v>11547.916879999993</v>
      </c>
      <c r="G44">
        <v>10813.420400000023</v>
      </c>
      <c r="H44">
        <v>15954.895759999987</v>
      </c>
      <c r="I44">
        <v>17423.888719999984</v>
      </c>
      <c r="J44">
        <v>13016.909839999991</v>
      </c>
      <c r="K44">
        <v>16322.144</v>
      </c>
      <c r="L44">
        <v>7875.434479999999</v>
      </c>
      <c r="M44">
        <v>2366.7108799999933</v>
      </c>
      <c r="P44" s="4" t="s">
        <v>23</v>
      </c>
      <c r="Q44" s="4">
        <v>-613.86304000000246</v>
      </c>
      <c r="R44" s="4">
        <v>1359.2681600000099</v>
      </c>
      <c r="S44" s="4">
        <v>2937.7731200000076</v>
      </c>
      <c r="T44" s="4">
        <v>4121.6518399999895</v>
      </c>
      <c r="U44" s="4">
        <v>12408.802879999992</v>
      </c>
      <c r="V44" s="4">
        <v>11619.550400000024</v>
      </c>
      <c r="W44" s="4">
        <v>17144.317759999984</v>
      </c>
      <c r="X44" s="4">
        <v>18722.822719999982</v>
      </c>
      <c r="Y44" s="4">
        <v>13987.30783999999</v>
      </c>
      <c r="Z44" s="4">
        <v>17538.944</v>
      </c>
      <c r="AA44" s="4">
        <v>8462.5404799999978</v>
      </c>
      <c r="AB44" s="4">
        <v>2543.1468799999925</v>
      </c>
    </row>
    <row r="45" spans="1:28" x14ac:dyDescent="0.25">
      <c r="A45" s="4" t="s">
        <v>24</v>
      </c>
      <c r="B45">
        <v>897.71791999999539</v>
      </c>
      <c r="C45">
        <v>1264.9661600000093</v>
      </c>
      <c r="D45">
        <v>4570.200320000019</v>
      </c>
      <c r="E45">
        <v>6039.1932800000159</v>
      </c>
      <c r="F45">
        <v>11915.165120000007</v>
      </c>
      <c r="G45">
        <v>11180.668640000009</v>
      </c>
      <c r="H45">
        <v>17423.888719999984</v>
      </c>
      <c r="I45">
        <v>19627.378160000011</v>
      </c>
      <c r="J45">
        <v>15587.647520000002</v>
      </c>
      <c r="K45">
        <v>18525.633440000027</v>
      </c>
      <c r="L45">
        <v>9711.6756799999821</v>
      </c>
      <c r="M45">
        <v>3101.2073599999921</v>
      </c>
      <c r="P45" s="4" t="s">
        <v>24</v>
      </c>
      <c r="Q45" s="4">
        <v>964.64191999999503</v>
      </c>
      <c r="R45" s="4">
        <v>1359.2681600000099</v>
      </c>
      <c r="S45" s="4">
        <v>4910.9043200000197</v>
      </c>
      <c r="T45" s="4">
        <v>6489.4092800000171</v>
      </c>
      <c r="U45" s="4">
        <v>12803.429120000008</v>
      </c>
      <c r="V45" s="4">
        <v>12014.176640000009</v>
      </c>
      <c r="W45" s="4">
        <v>18722.822719999982</v>
      </c>
      <c r="X45" s="4">
        <v>21090.580160000009</v>
      </c>
      <c r="Y45" s="4">
        <v>16749.69152</v>
      </c>
      <c r="Z45" s="4">
        <v>19906.701440000026</v>
      </c>
      <c r="AA45" s="4">
        <v>10435.671679999979</v>
      </c>
      <c r="AB45" s="4">
        <v>3332.3993599999912</v>
      </c>
    </row>
    <row r="46" spans="1:28" x14ac:dyDescent="0.25">
      <c r="A46" s="4" t="s">
        <v>25</v>
      </c>
      <c r="B46">
        <v>1264.9661600000093</v>
      </c>
      <c r="C46">
        <v>3468.4556000000057</v>
      </c>
      <c r="D46">
        <v>5304.6967999999888</v>
      </c>
      <c r="E46">
        <v>6773.6897599999866</v>
      </c>
      <c r="F46">
        <v>12282.413359999991</v>
      </c>
      <c r="G46">
        <v>11915.165120000007</v>
      </c>
      <c r="H46">
        <v>17791.136959999996</v>
      </c>
      <c r="I46">
        <v>19994.626400000023</v>
      </c>
      <c r="J46">
        <v>16322.144</v>
      </c>
      <c r="K46">
        <v>17791.136959999996</v>
      </c>
      <c r="L46">
        <v>10078.923919999996</v>
      </c>
      <c r="M46">
        <v>4202.9520800000046</v>
      </c>
      <c r="P46" s="4" t="s">
        <v>25</v>
      </c>
      <c r="Q46" s="4">
        <v>1359.2681600000099</v>
      </c>
      <c r="R46" s="4">
        <v>3727.0256000000063</v>
      </c>
      <c r="S46" s="4">
        <v>5700.156799999987</v>
      </c>
      <c r="T46" s="4">
        <v>7278.6617599999845</v>
      </c>
      <c r="U46" s="4">
        <v>13198.055359999991</v>
      </c>
      <c r="V46" s="4">
        <v>12803.429120000008</v>
      </c>
      <c r="W46" s="4">
        <v>19117.448959999998</v>
      </c>
      <c r="X46" s="4">
        <v>21485.206400000025</v>
      </c>
      <c r="Y46" s="4">
        <v>17538.944</v>
      </c>
      <c r="Z46" s="4">
        <v>19117.448959999998</v>
      </c>
      <c r="AA46" s="4">
        <v>10830.297919999995</v>
      </c>
      <c r="AB46" s="4">
        <v>4516.2780800000046</v>
      </c>
    </row>
    <row r="47" spans="1:28" x14ac:dyDescent="0.25">
      <c r="A47" s="4" t="s">
        <v>26</v>
      </c>
      <c r="B47">
        <v>1999.4626400000082</v>
      </c>
      <c r="C47">
        <v>3101.2073599999921</v>
      </c>
      <c r="D47">
        <v>6039.1932800000159</v>
      </c>
      <c r="E47">
        <v>6039.1932800000159</v>
      </c>
      <c r="F47">
        <v>12282.413359999991</v>
      </c>
      <c r="G47">
        <v>12282.413359999991</v>
      </c>
      <c r="H47">
        <v>17791.136959999996</v>
      </c>
      <c r="I47">
        <v>20361.874640000009</v>
      </c>
      <c r="J47">
        <v>16322.144</v>
      </c>
      <c r="K47">
        <v>17423.888719999984</v>
      </c>
      <c r="L47">
        <v>9711.6756799999821</v>
      </c>
      <c r="M47">
        <v>4937.4485600000035</v>
      </c>
      <c r="P47" s="4" t="s">
        <v>26</v>
      </c>
      <c r="Q47" s="4">
        <v>2148.5206400000088</v>
      </c>
      <c r="R47" s="4">
        <v>3332.3993599999912</v>
      </c>
      <c r="S47" s="4">
        <v>6489.4092800000171</v>
      </c>
      <c r="T47" s="4">
        <v>6489.4092800000171</v>
      </c>
      <c r="U47" s="4">
        <v>13198.055359999991</v>
      </c>
      <c r="V47" s="4">
        <v>13198.055359999991</v>
      </c>
      <c r="W47" s="4">
        <v>19117.448959999998</v>
      </c>
      <c r="X47" s="4">
        <v>21879.832640000008</v>
      </c>
      <c r="Y47" s="4">
        <v>17538.944</v>
      </c>
      <c r="Z47" s="4">
        <v>18722.822719999982</v>
      </c>
      <c r="AA47" s="4">
        <v>10435.671679999979</v>
      </c>
      <c r="AB47" s="4">
        <v>5305.5305600000038</v>
      </c>
    </row>
    <row r="48" spans="1:28" x14ac:dyDescent="0.25">
      <c r="A48" s="4" t="s">
        <v>27</v>
      </c>
      <c r="B48">
        <v>163.22144000002552</v>
      </c>
      <c r="C48">
        <v>3101.2073599999921</v>
      </c>
      <c r="D48">
        <v>4937.4485600000035</v>
      </c>
      <c r="E48">
        <v>6039.1932800000159</v>
      </c>
      <c r="F48">
        <v>11547.916879999993</v>
      </c>
      <c r="G48">
        <v>10813.420400000023</v>
      </c>
      <c r="H48">
        <v>17056.640479999998</v>
      </c>
      <c r="I48">
        <v>20361.874640000009</v>
      </c>
      <c r="J48">
        <v>15954.895759999987</v>
      </c>
      <c r="K48">
        <v>16689.392240000016</v>
      </c>
      <c r="L48">
        <v>8977.1792000000114</v>
      </c>
      <c r="M48">
        <v>3101.2073599999921</v>
      </c>
      <c r="P48" s="4" t="s">
        <v>27</v>
      </c>
      <c r="Q48" s="4">
        <v>175.38944000002741</v>
      </c>
      <c r="R48" s="4">
        <v>3332.3993599999912</v>
      </c>
      <c r="S48" s="4">
        <v>5305.5305600000038</v>
      </c>
      <c r="T48" s="4">
        <v>6489.4092800000171</v>
      </c>
      <c r="U48" s="4">
        <v>12408.802879999992</v>
      </c>
      <c r="V48" s="4">
        <v>11619.550400000024</v>
      </c>
      <c r="W48" s="4">
        <v>18328.196479999999</v>
      </c>
      <c r="X48" s="4">
        <v>21879.832640000008</v>
      </c>
      <c r="Y48" s="4">
        <v>17144.317759999984</v>
      </c>
      <c r="Z48" s="4">
        <v>17933.570240000015</v>
      </c>
      <c r="AA48" s="4">
        <v>9646.419200000013</v>
      </c>
      <c r="AB48" s="4">
        <v>3332.3993599999912</v>
      </c>
    </row>
    <row r="49" spans="1:28" x14ac:dyDescent="0.25">
      <c r="A49" s="4" t="s">
        <v>28</v>
      </c>
      <c r="B49">
        <v>-1305.7715200000011</v>
      </c>
      <c r="C49">
        <v>1264.9661600000093</v>
      </c>
      <c r="D49">
        <v>3468.4556000000057</v>
      </c>
      <c r="E49">
        <v>4937.4485600000035</v>
      </c>
      <c r="F49">
        <v>9344.4274400000249</v>
      </c>
      <c r="G49">
        <v>9344.4274400000249</v>
      </c>
      <c r="H49">
        <v>14853.151040000002</v>
      </c>
      <c r="I49">
        <v>17056.640479999998</v>
      </c>
      <c r="J49">
        <v>13751.406320000018</v>
      </c>
      <c r="K49">
        <v>14118.654560000004</v>
      </c>
      <c r="L49">
        <v>6039.1932800000159</v>
      </c>
      <c r="M49">
        <v>1632.2144000000233</v>
      </c>
      <c r="P49" s="4" t="s">
        <v>28</v>
      </c>
      <c r="Q49" s="4">
        <v>-1403.1155200000012</v>
      </c>
      <c r="R49" s="4">
        <v>1359.2681600000099</v>
      </c>
      <c r="S49" s="4">
        <v>3727.0256000000063</v>
      </c>
      <c r="T49" s="4">
        <v>5305.5305600000038</v>
      </c>
      <c r="U49" s="4">
        <v>10041.045440000027</v>
      </c>
      <c r="V49" s="4">
        <v>10041.045440000027</v>
      </c>
      <c r="W49" s="4">
        <v>15960.439040000003</v>
      </c>
      <c r="X49" s="4">
        <v>18328.196479999999</v>
      </c>
      <c r="Y49" s="4">
        <v>14776.560320000019</v>
      </c>
      <c r="Z49" s="4">
        <v>15171.186560000004</v>
      </c>
      <c r="AA49" s="4">
        <v>6489.4092800000171</v>
      </c>
      <c r="AB49" s="4">
        <v>1753.8944000000249</v>
      </c>
    </row>
    <row r="50" spans="1:28" x14ac:dyDescent="0.25">
      <c r="A50" s="4" t="s">
        <v>29</v>
      </c>
      <c r="B50">
        <v>-4978.2539199999956</v>
      </c>
      <c r="C50">
        <v>-2040.268</v>
      </c>
      <c r="D50">
        <v>530.46967999998139</v>
      </c>
      <c r="E50">
        <v>897.71791999999539</v>
      </c>
      <c r="F50">
        <v>6039.1932800000159</v>
      </c>
      <c r="G50">
        <v>7875.434479999999</v>
      </c>
      <c r="H50">
        <v>11547.916879999993</v>
      </c>
      <c r="I50">
        <v>13751.406320000018</v>
      </c>
      <c r="J50">
        <v>10446.172160000009</v>
      </c>
      <c r="K50">
        <v>8977.1792000000114</v>
      </c>
      <c r="L50">
        <v>2733.9591200000068</v>
      </c>
      <c r="M50">
        <v>-204.02679999998841</v>
      </c>
      <c r="P50" s="4" t="s">
        <v>29</v>
      </c>
      <c r="Q50" s="4">
        <v>-5349.3779199999944</v>
      </c>
      <c r="R50" s="4">
        <v>-2192.3679999999999</v>
      </c>
      <c r="S50" s="4">
        <v>570.01567999998008</v>
      </c>
      <c r="T50" s="4">
        <v>964.64191999999503</v>
      </c>
      <c r="U50" s="4">
        <v>6489.4092800000171</v>
      </c>
      <c r="V50" s="4">
        <v>8462.5404799999978</v>
      </c>
      <c r="W50" s="4">
        <v>12408.802879999992</v>
      </c>
      <c r="X50" s="4">
        <v>14776.560320000019</v>
      </c>
      <c r="Y50" s="4">
        <v>11224.92416000001</v>
      </c>
      <c r="Z50" s="4">
        <v>9646.419200000013</v>
      </c>
      <c r="AA50" s="4">
        <v>2937.7731200000076</v>
      </c>
      <c r="AB50" s="4">
        <v>-219.23679999998754</v>
      </c>
    </row>
    <row r="51" spans="1:28" x14ac:dyDescent="0.25">
      <c r="A51" s="4" t="s">
        <v>30</v>
      </c>
      <c r="B51">
        <v>-9017.9845599999753</v>
      </c>
      <c r="C51">
        <v>-6079.998640000008</v>
      </c>
      <c r="D51">
        <v>-3509.2609599999978</v>
      </c>
      <c r="E51">
        <v>-3509.2609599999978</v>
      </c>
      <c r="F51">
        <v>1999.4626400000082</v>
      </c>
      <c r="G51">
        <v>4202.9520800000046</v>
      </c>
      <c r="H51">
        <v>7508.1862400000136</v>
      </c>
      <c r="I51">
        <v>8977.1792000000114</v>
      </c>
      <c r="J51">
        <v>7875.434479999999</v>
      </c>
      <c r="K51">
        <v>4202.9520800000046</v>
      </c>
      <c r="L51">
        <v>-2407.516240000014</v>
      </c>
      <c r="M51">
        <v>-2774.7644799999989</v>
      </c>
      <c r="P51" s="4" t="s">
        <v>30</v>
      </c>
      <c r="Q51" s="4">
        <v>-9690.2665599999727</v>
      </c>
      <c r="R51" s="4">
        <v>-6533.2566400000087</v>
      </c>
      <c r="S51" s="4">
        <v>-3770.8729599999974</v>
      </c>
      <c r="T51" s="4">
        <v>-3770.8729599999974</v>
      </c>
      <c r="U51" s="4">
        <v>2148.5206400000088</v>
      </c>
      <c r="V51" s="4">
        <v>4516.2780800000046</v>
      </c>
      <c r="W51" s="4">
        <v>8067.9142400000146</v>
      </c>
      <c r="X51" s="4">
        <v>9646.419200000013</v>
      </c>
      <c r="Y51" s="4">
        <v>8462.5404799999978</v>
      </c>
      <c r="Z51" s="4">
        <v>4516.2780800000046</v>
      </c>
      <c r="AA51" s="4">
        <v>-2586.994240000015</v>
      </c>
      <c r="AB51" s="4">
        <v>-2981.6204799999987</v>
      </c>
    </row>
    <row r="52" spans="1:28" x14ac:dyDescent="0.25">
      <c r="A52" s="4" t="s">
        <v>31</v>
      </c>
      <c r="B52">
        <v>-11955.970479999998</v>
      </c>
      <c r="C52">
        <v>-10119.729280000016</v>
      </c>
      <c r="D52">
        <v>-8650.7363200000182</v>
      </c>
      <c r="E52">
        <v>-9017.9845599999753</v>
      </c>
      <c r="F52">
        <v>-2040.268</v>
      </c>
      <c r="G52">
        <v>530.46967999998139</v>
      </c>
      <c r="H52">
        <v>2733.9591200000068</v>
      </c>
      <c r="I52">
        <v>3468.4556000000057</v>
      </c>
      <c r="J52">
        <v>4570.200320000019</v>
      </c>
      <c r="K52">
        <v>897.71791999999539</v>
      </c>
      <c r="L52">
        <v>-4243.7574399999967</v>
      </c>
      <c r="M52">
        <v>-5345.5021600000091</v>
      </c>
      <c r="P52" s="4" t="s">
        <v>31</v>
      </c>
      <c r="Q52" s="4">
        <v>-12847.276479999999</v>
      </c>
      <c r="R52" s="4">
        <v>-10874.145280000017</v>
      </c>
      <c r="S52" s="4">
        <v>-9295.6403200000204</v>
      </c>
      <c r="T52" s="4">
        <v>-9690.2665599999727</v>
      </c>
      <c r="U52" s="4">
        <v>-2192.3679999999999</v>
      </c>
      <c r="V52" s="4">
        <v>570.01567999998008</v>
      </c>
      <c r="W52" s="4">
        <v>2937.7731200000076</v>
      </c>
      <c r="X52" s="4">
        <v>3727.0256000000063</v>
      </c>
      <c r="Y52" s="4">
        <v>4910.9043200000197</v>
      </c>
      <c r="Z52" s="4">
        <v>964.64191999999503</v>
      </c>
      <c r="AA52" s="4">
        <v>-4560.1254399999962</v>
      </c>
      <c r="AB52" s="4">
        <v>-5744.0041600000095</v>
      </c>
    </row>
    <row r="53" spans="1:28" x14ac:dyDescent="0.25">
      <c r="A53" s="4" t="s">
        <v>32</v>
      </c>
      <c r="B53">
        <v>-13424.963439999996</v>
      </c>
      <c r="C53">
        <v>-11588.722240000014</v>
      </c>
      <c r="D53">
        <v>-11221.474</v>
      </c>
      <c r="E53">
        <v>-10854.225759999987</v>
      </c>
      <c r="F53">
        <v>-4978.2539199999956</v>
      </c>
      <c r="G53">
        <v>-3142.0127199999838</v>
      </c>
      <c r="H53">
        <v>163.22144000002552</v>
      </c>
      <c r="I53">
        <v>897.71791999999539</v>
      </c>
      <c r="J53">
        <v>1632.2144000000233</v>
      </c>
      <c r="K53">
        <v>-204.02679999998841</v>
      </c>
      <c r="L53">
        <v>-5345.5021600000091</v>
      </c>
      <c r="M53">
        <v>-7916.2398399999911</v>
      </c>
      <c r="P53" s="4" t="s">
        <v>32</v>
      </c>
      <c r="Q53" s="4">
        <v>-14425.781439999995</v>
      </c>
      <c r="R53" s="4">
        <v>-12452.650240000015</v>
      </c>
      <c r="S53" s="4">
        <v>-12058.023999999999</v>
      </c>
      <c r="T53" s="4">
        <v>-11663.397759999985</v>
      </c>
      <c r="U53" s="4">
        <v>-5349.3779199999944</v>
      </c>
      <c r="V53" s="4">
        <v>-3376.2467199999824</v>
      </c>
      <c r="W53" s="4">
        <v>175.38944000002741</v>
      </c>
      <c r="X53" s="4">
        <v>964.64191999999503</v>
      </c>
      <c r="Y53" s="4">
        <v>1753.8944000000249</v>
      </c>
      <c r="Z53" s="4">
        <v>-219.23679999998754</v>
      </c>
      <c r="AA53" s="4">
        <v>-5744.0041600000095</v>
      </c>
      <c r="AB53" s="4">
        <v>-8506.3878399999903</v>
      </c>
    </row>
    <row r="54" spans="1:28" x14ac:dyDescent="0.25">
      <c r="A54" s="4" t="s">
        <v>33</v>
      </c>
      <c r="B54">
        <v>-14159.459919999996</v>
      </c>
      <c r="C54">
        <v>-13424.963439999996</v>
      </c>
      <c r="D54">
        <v>-12690.466959999998</v>
      </c>
      <c r="E54">
        <v>-10854.225759999987</v>
      </c>
      <c r="F54">
        <v>-5712.7503999999944</v>
      </c>
      <c r="G54">
        <v>-3509.2609599999978</v>
      </c>
      <c r="H54">
        <v>-571.27504000000238</v>
      </c>
      <c r="I54">
        <v>-204.02679999998841</v>
      </c>
      <c r="J54">
        <v>1264.9661600000093</v>
      </c>
      <c r="K54">
        <v>-1305.7715200000011</v>
      </c>
      <c r="L54">
        <v>-6079.998640000008</v>
      </c>
      <c r="M54">
        <v>-9017.9845599999753</v>
      </c>
      <c r="P54" s="4" t="s">
        <v>33</v>
      </c>
      <c r="Q54" s="4">
        <v>-15215.033919999994</v>
      </c>
      <c r="R54" s="4">
        <v>-14425.781439999995</v>
      </c>
      <c r="S54" s="4">
        <v>-13636.528959999998</v>
      </c>
      <c r="T54" s="4">
        <v>-11663.397759999985</v>
      </c>
      <c r="U54" s="4">
        <v>-6138.6303999999936</v>
      </c>
      <c r="V54" s="4">
        <v>-3770.8729599999974</v>
      </c>
      <c r="W54" s="4">
        <v>-613.86304000000246</v>
      </c>
      <c r="X54" s="4">
        <v>-219.23679999998754</v>
      </c>
      <c r="Y54" s="4">
        <v>1359.2681600000099</v>
      </c>
      <c r="Z54" s="4">
        <v>-1403.1155200000012</v>
      </c>
      <c r="AA54" s="4">
        <v>-6533.2566400000087</v>
      </c>
      <c r="AB54" s="4">
        <v>-9690.2665599999727</v>
      </c>
    </row>
    <row r="55" spans="1:28" x14ac:dyDescent="0.25">
      <c r="A55" s="4" t="s">
        <v>34</v>
      </c>
      <c r="B55">
        <v>-15261.204640000009</v>
      </c>
      <c r="C55">
        <v>-14526.708160000009</v>
      </c>
      <c r="D55">
        <v>-14159.459919999996</v>
      </c>
      <c r="E55">
        <v>-11588.722240000014</v>
      </c>
      <c r="F55">
        <v>-6814.4951200000069</v>
      </c>
      <c r="G55">
        <v>-3876.5092000000118</v>
      </c>
      <c r="H55">
        <v>-1305.7715200000011</v>
      </c>
      <c r="I55">
        <v>-938.52328000001626</v>
      </c>
      <c r="J55">
        <v>530.46967999998139</v>
      </c>
      <c r="K55">
        <v>-3142.0127199999838</v>
      </c>
      <c r="L55">
        <v>-7181.7433599999922</v>
      </c>
      <c r="M55">
        <v>-9752.4810400000024</v>
      </c>
      <c r="P55" s="4" t="s">
        <v>34</v>
      </c>
      <c r="Q55" s="4">
        <v>-16398.91264000001</v>
      </c>
      <c r="R55" s="4">
        <v>-15609.66016000001</v>
      </c>
      <c r="S55" s="4">
        <v>-15215.033919999994</v>
      </c>
      <c r="T55" s="4">
        <v>-12452.650240000015</v>
      </c>
      <c r="U55" s="4">
        <v>-7322.509120000007</v>
      </c>
      <c r="V55" s="4">
        <v>-4165.499200000012</v>
      </c>
      <c r="W55" s="4">
        <v>-1403.1155200000012</v>
      </c>
      <c r="X55" s="4">
        <v>-1008.4892800000174</v>
      </c>
      <c r="Y55" s="4">
        <v>570.01567999998008</v>
      </c>
      <c r="Z55" s="4">
        <v>-3376.2467199999824</v>
      </c>
      <c r="AA55" s="4">
        <v>-7717.1353599999911</v>
      </c>
      <c r="AB55" s="4">
        <v>-10479.519040000003</v>
      </c>
    </row>
    <row r="56" spans="1:28" x14ac:dyDescent="0.25">
      <c r="A56" s="4" t="s">
        <v>35</v>
      </c>
      <c r="B56">
        <v>-16730.197599999978</v>
      </c>
      <c r="C56">
        <v>-15628.452879999993</v>
      </c>
      <c r="D56">
        <v>-15628.452879999993</v>
      </c>
      <c r="E56">
        <v>-12690.466959999998</v>
      </c>
      <c r="F56">
        <v>-7916.2398399999911</v>
      </c>
      <c r="G56">
        <v>-4243.7574399999967</v>
      </c>
      <c r="H56">
        <v>-1673.019759999986</v>
      </c>
      <c r="I56">
        <v>-1673.019759999986</v>
      </c>
      <c r="J56">
        <v>-204.02679999998841</v>
      </c>
      <c r="K56">
        <v>-4611.0056799999811</v>
      </c>
      <c r="L56">
        <v>-8650.7363200000182</v>
      </c>
      <c r="M56">
        <v>-10854.225759999987</v>
      </c>
      <c r="P56" s="4" t="s">
        <v>35</v>
      </c>
      <c r="Q56" s="4">
        <v>-17977.417599999975</v>
      </c>
      <c r="R56" s="4">
        <v>-16793.538879999993</v>
      </c>
      <c r="S56" s="4">
        <v>-16793.538879999993</v>
      </c>
      <c r="T56" s="4">
        <v>-13636.528959999998</v>
      </c>
      <c r="U56" s="4">
        <v>-8506.3878399999903</v>
      </c>
      <c r="V56" s="4">
        <v>-4560.1254399999962</v>
      </c>
      <c r="W56" s="4">
        <v>-1797.7417599999851</v>
      </c>
      <c r="X56" s="4">
        <v>-1797.7417599999851</v>
      </c>
      <c r="Y56" s="4">
        <v>-219.23679999998754</v>
      </c>
      <c r="Z56" s="4">
        <v>-4954.7516799999803</v>
      </c>
      <c r="AA56" s="4">
        <v>-9295.6403200000204</v>
      </c>
      <c r="AB56" s="4">
        <v>-11663.397759999985</v>
      </c>
    </row>
    <row r="57" spans="1:28" x14ac:dyDescent="0.25">
      <c r="A57" s="4" t="s">
        <v>36</v>
      </c>
      <c r="B57">
        <v>-17097.445839999989</v>
      </c>
      <c r="C57">
        <v>-17097.445839999989</v>
      </c>
      <c r="D57">
        <v>-16730.197599999978</v>
      </c>
      <c r="E57">
        <v>-13424.963439999996</v>
      </c>
      <c r="F57">
        <v>-8650.7363200000182</v>
      </c>
      <c r="G57">
        <v>-4978.2539199999956</v>
      </c>
      <c r="H57">
        <v>-2407.516240000014</v>
      </c>
      <c r="I57">
        <v>-2040.268</v>
      </c>
      <c r="J57">
        <v>-571.27504000000238</v>
      </c>
      <c r="K57">
        <v>-5712.7503999999944</v>
      </c>
      <c r="L57">
        <v>-9385.2327999999889</v>
      </c>
      <c r="M57">
        <v>-11955.970479999998</v>
      </c>
      <c r="P57" s="4" t="s">
        <v>36</v>
      </c>
      <c r="Q57" s="4">
        <v>-18372.043839999991</v>
      </c>
      <c r="R57" s="4">
        <v>-18372.043839999991</v>
      </c>
      <c r="S57" s="4">
        <v>-17977.417599999975</v>
      </c>
      <c r="T57" s="4">
        <v>-14425.781439999995</v>
      </c>
      <c r="U57" s="4">
        <v>-9295.6403200000204</v>
      </c>
      <c r="V57" s="4">
        <v>-5349.3779199999944</v>
      </c>
      <c r="W57" s="4">
        <v>-2586.994240000015</v>
      </c>
      <c r="X57" s="4">
        <v>-2192.3679999999999</v>
      </c>
      <c r="Y57" s="4">
        <v>-613.86304000000246</v>
      </c>
      <c r="Z57" s="4">
        <v>-6138.6303999999936</v>
      </c>
      <c r="AA57" s="4">
        <v>-10084.892799999987</v>
      </c>
      <c r="AB57" s="4">
        <v>-12847.276479999999</v>
      </c>
    </row>
    <row r="58" spans="1:28" x14ac:dyDescent="0.25">
      <c r="Q58" s="4"/>
      <c r="R58" s="4"/>
      <c r="S58" s="4"/>
      <c r="T58" s="4"/>
      <c r="U58" s="4"/>
      <c r="V58" s="4"/>
      <c r="W58" s="4"/>
      <c r="X58" s="4"/>
      <c r="Y58" s="4"/>
      <c r="Z58" s="4"/>
      <c r="AA58" s="4"/>
      <c r="AB58" s="4"/>
    </row>
    <row r="59" spans="1:28" x14ac:dyDescent="0.25">
      <c r="Q59" s="4"/>
      <c r="R59" s="4"/>
      <c r="S59" s="4"/>
      <c r="T59" s="4"/>
      <c r="U59" s="4"/>
      <c r="V59" s="4"/>
      <c r="W59" s="4"/>
      <c r="X59" s="4"/>
      <c r="Y59" s="4"/>
      <c r="Z59" s="4"/>
      <c r="AA59" s="4"/>
      <c r="AB59" s="4"/>
    </row>
    <row r="60" spans="1:28" x14ac:dyDescent="0.25">
      <c r="A60" s="4" t="s">
        <v>57</v>
      </c>
    </row>
    <row r="61" spans="1:28" s="4" customFormat="1" x14ac:dyDescent="0.25">
      <c r="B61" s="4" t="s">
        <v>1</v>
      </c>
      <c r="C61" s="4" t="s">
        <v>2</v>
      </c>
      <c r="D61" s="4" t="s">
        <v>3</v>
      </c>
      <c r="E61" s="4" t="s">
        <v>4</v>
      </c>
      <c r="F61" s="4" t="s">
        <v>5</v>
      </c>
      <c r="G61" s="4" t="s">
        <v>6</v>
      </c>
      <c r="H61" s="4" t="s">
        <v>7</v>
      </c>
      <c r="I61" s="4" t="s">
        <v>8</v>
      </c>
      <c r="J61" s="4" t="s">
        <v>9</v>
      </c>
      <c r="K61" s="4" t="s">
        <v>10</v>
      </c>
      <c r="L61" s="4" t="s">
        <v>11</v>
      </c>
      <c r="M61" s="4" t="s">
        <v>12</v>
      </c>
      <c r="Q61" s="4" t="s">
        <v>1</v>
      </c>
      <c r="R61" s="4" t="s">
        <v>2</v>
      </c>
      <c r="S61" s="4" t="s">
        <v>3</v>
      </c>
      <c r="T61" s="4" t="s">
        <v>4</v>
      </c>
      <c r="U61" s="4" t="s">
        <v>5</v>
      </c>
      <c r="V61" s="4" t="s">
        <v>6</v>
      </c>
      <c r="W61" s="4" t="s">
        <v>7</v>
      </c>
      <c r="X61" s="4" t="s">
        <v>8</v>
      </c>
      <c r="Y61" s="4" t="s">
        <v>9</v>
      </c>
      <c r="Z61" s="4" t="s">
        <v>10</v>
      </c>
      <c r="AA61" s="4" t="s">
        <v>11</v>
      </c>
      <c r="AB61" s="4" t="s">
        <v>12</v>
      </c>
    </row>
    <row r="62" spans="1:28" s="4" customFormat="1" x14ac:dyDescent="0.25">
      <c r="A62" s="4" t="s">
        <v>13</v>
      </c>
      <c r="B62" s="4">
        <v>6478.1428571428587</v>
      </c>
      <c r="P62" s="4" t="s">
        <v>13</v>
      </c>
      <c r="Q62" s="4">
        <v>6478.1428571428587</v>
      </c>
    </row>
    <row r="63" spans="1:28" s="4" customFormat="1" x14ac:dyDescent="0.25">
      <c r="A63" s="4" t="s">
        <v>14</v>
      </c>
      <c r="B63" s="4">
        <v>6478.1428571428587</v>
      </c>
      <c r="P63" s="4" t="s">
        <v>14</v>
      </c>
      <c r="Q63" s="4">
        <v>6478.1428571428587</v>
      </c>
    </row>
    <row r="64" spans="1:28" s="4" customFormat="1" x14ac:dyDescent="0.25">
      <c r="A64" s="4" t="s">
        <v>15</v>
      </c>
      <c r="B64" s="4">
        <v>6478.1428571428587</v>
      </c>
      <c r="P64" s="4" t="s">
        <v>15</v>
      </c>
      <c r="Q64" s="4">
        <v>6478.1428571428587</v>
      </c>
    </row>
    <row r="65" spans="1:17" s="4" customFormat="1" x14ac:dyDescent="0.25">
      <c r="A65" s="4" t="s">
        <v>16</v>
      </c>
      <c r="B65" s="4">
        <v>6478.1428571428587</v>
      </c>
      <c r="P65" s="4" t="s">
        <v>16</v>
      </c>
      <c r="Q65" s="4">
        <v>6478.1428571428587</v>
      </c>
    </row>
    <row r="66" spans="1:17" s="4" customFormat="1" x14ac:dyDescent="0.25">
      <c r="A66" s="4" t="s">
        <v>17</v>
      </c>
      <c r="B66" s="4">
        <v>6478.1428571428587</v>
      </c>
      <c r="P66" s="4" t="s">
        <v>17</v>
      </c>
      <c r="Q66" s="4">
        <v>6478.1428571428587</v>
      </c>
    </row>
    <row r="67" spans="1:17" s="4" customFormat="1" x14ac:dyDescent="0.25">
      <c r="A67" s="4" t="s">
        <v>18</v>
      </c>
      <c r="B67" s="4">
        <v>6478.1428571428587</v>
      </c>
      <c r="P67" s="4" t="s">
        <v>18</v>
      </c>
      <c r="Q67" s="4">
        <v>6478.1428571428587</v>
      </c>
    </row>
    <row r="68" spans="1:17" s="4" customFormat="1" x14ac:dyDescent="0.25">
      <c r="A68" s="4" t="s">
        <v>19</v>
      </c>
      <c r="B68" s="4">
        <v>32390.71428571429</v>
      </c>
      <c r="P68" s="4" t="s">
        <v>19</v>
      </c>
      <c r="Q68" s="4">
        <v>32390.71428571429</v>
      </c>
    </row>
    <row r="69" spans="1:17" s="4" customFormat="1" x14ac:dyDescent="0.25">
      <c r="A69" s="4" t="s">
        <v>20</v>
      </c>
      <c r="B69" s="4">
        <v>32390.71428571429</v>
      </c>
      <c r="P69" s="4" t="s">
        <v>20</v>
      </c>
      <c r="Q69" s="4">
        <v>32390.71428571429</v>
      </c>
    </row>
    <row r="70" spans="1:17" s="4" customFormat="1" x14ac:dyDescent="0.25">
      <c r="A70" s="4" t="s">
        <v>21</v>
      </c>
      <c r="B70" s="4">
        <v>32390.71428571429</v>
      </c>
      <c r="P70" s="4" t="s">
        <v>21</v>
      </c>
      <c r="Q70" s="4">
        <v>32390.71428571429</v>
      </c>
    </row>
    <row r="71" spans="1:17" s="4" customFormat="1" x14ac:dyDescent="0.25">
      <c r="A71" s="4" t="s">
        <v>22</v>
      </c>
      <c r="B71" s="4">
        <v>32390.71428571429</v>
      </c>
      <c r="P71" s="4" t="s">
        <v>22</v>
      </c>
      <c r="Q71" s="4">
        <v>32390.71428571429</v>
      </c>
    </row>
    <row r="72" spans="1:17" s="4" customFormat="1" x14ac:dyDescent="0.25">
      <c r="A72" s="4" t="s">
        <v>23</v>
      </c>
      <c r="B72" s="4">
        <v>32390.71428571429</v>
      </c>
      <c r="P72" s="4" t="s">
        <v>23</v>
      </c>
      <c r="Q72" s="4">
        <v>32390.71428571429</v>
      </c>
    </row>
    <row r="73" spans="1:17" s="4" customFormat="1" x14ac:dyDescent="0.25">
      <c r="A73" s="4" t="s">
        <v>24</v>
      </c>
      <c r="B73" s="4">
        <v>32390.71428571429</v>
      </c>
      <c r="P73" s="4" t="s">
        <v>24</v>
      </c>
      <c r="Q73" s="4">
        <v>32390.71428571429</v>
      </c>
    </row>
    <row r="74" spans="1:17" s="4" customFormat="1" x14ac:dyDescent="0.25">
      <c r="A74" s="4" t="s">
        <v>25</v>
      </c>
      <c r="B74" s="4">
        <v>32390.71428571429</v>
      </c>
      <c r="P74" s="4" t="s">
        <v>25</v>
      </c>
      <c r="Q74" s="4">
        <v>32390.71428571429</v>
      </c>
    </row>
    <row r="75" spans="1:17" s="4" customFormat="1" x14ac:dyDescent="0.25">
      <c r="A75" s="4" t="s">
        <v>26</v>
      </c>
      <c r="B75" s="4">
        <v>32390.71428571429</v>
      </c>
      <c r="P75" s="4" t="s">
        <v>26</v>
      </c>
      <c r="Q75" s="4">
        <v>32390.71428571429</v>
      </c>
    </row>
    <row r="76" spans="1:17" s="4" customFormat="1" x14ac:dyDescent="0.25">
      <c r="A76" s="4" t="s">
        <v>27</v>
      </c>
      <c r="B76" s="4">
        <v>32390.71428571429</v>
      </c>
      <c r="P76" s="4" t="s">
        <v>27</v>
      </c>
      <c r="Q76" s="4">
        <v>32390.71428571429</v>
      </c>
    </row>
    <row r="77" spans="1:17" s="4" customFormat="1" x14ac:dyDescent="0.25">
      <c r="A77" s="4" t="s">
        <v>28</v>
      </c>
      <c r="B77" s="4">
        <v>32390.71428571429</v>
      </c>
      <c r="P77" s="4" t="s">
        <v>28</v>
      </c>
      <c r="Q77" s="4">
        <v>32390.71428571429</v>
      </c>
    </row>
    <row r="78" spans="1:17" s="4" customFormat="1" x14ac:dyDescent="0.25">
      <c r="A78" s="4" t="s">
        <v>29</v>
      </c>
      <c r="B78" s="4">
        <v>32390.71428571429</v>
      </c>
      <c r="P78" s="4" t="s">
        <v>29</v>
      </c>
      <c r="Q78" s="4">
        <v>32390.71428571429</v>
      </c>
    </row>
    <row r="79" spans="1:17" s="4" customFormat="1" x14ac:dyDescent="0.25">
      <c r="A79" s="4" t="s">
        <v>30</v>
      </c>
      <c r="B79" s="4">
        <v>32390.71428571429</v>
      </c>
      <c r="P79" s="4" t="s">
        <v>30</v>
      </c>
      <c r="Q79" s="4">
        <v>6478.1428571428587</v>
      </c>
    </row>
    <row r="80" spans="1:17" s="4" customFormat="1" x14ac:dyDescent="0.25">
      <c r="A80" s="4" t="s">
        <v>31</v>
      </c>
      <c r="B80" s="4">
        <v>32390.71428571429</v>
      </c>
      <c r="P80" s="4" t="s">
        <v>31</v>
      </c>
      <c r="Q80" s="4">
        <v>6478.1428571428587</v>
      </c>
    </row>
    <row r="81" spans="1:28" s="4" customFormat="1" x14ac:dyDescent="0.25">
      <c r="A81" s="4" t="s">
        <v>32</v>
      </c>
      <c r="B81" s="4">
        <v>32390.71428571429</v>
      </c>
      <c r="P81" s="4" t="s">
        <v>32</v>
      </c>
      <c r="Q81" s="4">
        <v>6478.1428571428587</v>
      </c>
    </row>
    <row r="82" spans="1:28" s="4" customFormat="1" x14ac:dyDescent="0.25">
      <c r="A82" s="4" t="s">
        <v>33</v>
      </c>
      <c r="B82" s="4">
        <v>32390.71428571429</v>
      </c>
      <c r="P82" s="4" t="s">
        <v>33</v>
      </c>
      <c r="Q82" s="4">
        <v>6478.1428571428587</v>
      </c>
    </row>
    <row r="83" spans="1:28" s="4" customFormat="1" x14ac:dyDescent="0.25">
      <c r="A83" s="4" t="s">
        <v>34</v>
      </c>
      <c r="B83" s="4">
        <v>32390.71428571429</v>
      </c>
      <c r="P83" s="4" t="s">
        <v>34</v>
      </c>
      <c r="Q83" s="4">
        <v>6478.1428571428587</v>
      </c>
    </row>
    <row r="84" spans="1:28" s="4" customFormat="1" x14ac:dyDescent="0.25">
      <c r="A84" s="4" t="s">
        <v>35</v>
      </c>
      <c r="B84" s="4">
        <v>32390.71428571429</v>
      </c>
      <c r="P84" s="4" t="s">
        <v>35</v>
      </c>
      <c r="Q84" s="4">
        <v>6478.1428571428587</v>
      </c>
    </row>
    <row r="85" spans="1:28" s="4" customFormat="1" x14ac:dyDescent="0.25">
      <c r="A85" s="4" t="s">
        <v>36</v>
      </c>
      <c r="B85" s="4">
        <v>6478.1428571428587</v>
      </c>
      <c r="P85" s="4" t="s">
        <v>36</v>
      </c>
      <c r="Q85" s="4">
        <v>6478.1428571428587</v>
      </c>
    </row>
    <row r="86" spans="1:28" s="4" customFormat="1" x14ac:dyDescent="0.25"/>
    <row r="87" spans="1:28" s="4" customFormat="1" x14ac:dyDescent="0.25"/>
    <row r="88" spans="1:28" s="4" customFormat="1" x14ac:dyDescent="0.25">
      <c r="A88" s="4" t="s">
        <v>94</v>
      </c>
      <c r="P88" s="4" t="s">
        <v>94</v>
      </c>
    </row>
    <row r="89" spans="1:28" x14ac:dyDescent="0.25">
      <c r="A89" s="4" t="s">
        <v>88</v>
      </c>
      <c r="B89" s="4" t="s">
        <v>64</v>
      </c>
      <c r="C89" s="4" t="s">
        <v>95</v>
      </c>
      <c r="D89" s="4" t="s">
        <v>65</v>
      </c>
      <c r="E89" s="4" t="s">
        <v>96</v>
      </c>
      <c r="F89" s="4" t="s">
        <v>66</v>
      </c>
      <c r="G89" s="4" t="s">
        <v>97</v>
      </c>
      <c r="H89" s="4" t="s">
        <v>67</v>
      </c>
      <c r="I89" s="4" t="s">
        <v>98</v>
      </c>
      <c r="J89" s="4"/>
      <c r="K89" s="4"/>
      <c r="L89" s="4"/>
      <c r="M89" s="4"/>
      <c r="N89" s="4"/>
      <c r="O89" s="4"/>
      <c r="P89" s="4" t="s">
        <v>87</v>
      </c>
      <c r="Q89" s="4" t="s">
        <v>64</v>
      </c>
      <c r="R89" s="4" t="s">
        <v>95</v>
      </c>
      <c r="S89" s="4" t="s">
        <v>65</v>
      </c>
      <c r="T89" s="4" t="s">
        <v>96</v>
      </c>
      <c r="U89" s="4" t="s">
        <v>66</v>
      </c>
      <c r="V89" s="4" t="s">
        <v>97</v>
      </c>
      <c r="W89" s="4" t="s">
        <v>67</v>
      </c>
      <c r="X89" s="4" t="s">
        <v>98</v>
      </c>
      <c r="Y89" s="4"/>
      <c r="Z89" s="4"/>
      <c r="AA89" s="4"/>
      <c r="AB89" s="4"/>
    </row>
    <row r="90" spans="1:28" x14ac:dyDescent="0.25">
      <c r="A90" s="4" t="s">
        <v>13</v>
      </c>
      <c r="B90" s="4">
        <v>1.55</v>
      </c>
      <c r="C90" s="4">
        <v>1.55</v>
      </c>
      <c r="D90" s="4">
        <v>1.55</v>
      </c>
      <c r="E90" s="4">
        <v>2.15</v>
      </c>
      <c r="F90" s="4">
        <v>2.63</v>
      </c>
      <c r="G90" s="4">
        <v>1.98</v>
      </c>
      <c r="H90" s="4">
        <v>1.79</v>
      </c>
      <c r="I90" s="4">
        <v>1.79</v>
      </c>
      <c r="J90" s="4"/>
      <c r="K90" s="4"/>
      <c r="L90" s="4"/>
      <c r="M90" s="4"/>
      <c r="N90" s="4"/>
      <c r="O90" s="4"/>
      <c r="P90" s="4" t="s">
        <v>13</v>
      </c>
      <c r="Q90" s="4">
        <v>1.71</v>
      </c>
      <c r="R90" s="4">
        <v>1.71</v>
      </c>
      <c r="S90" s="4">
        <v>1.71</v>
      </c>
      <c r="T90" s="4">
        <v>2.0699999999999998</v>
      </c>
      <c r="U90" s="4">
        <v>2.2799999999999998</v>
      </c>
      <c r="V90" s="4">
        <v>2.39</v>
      </c>
      <c r="W90" s="4">
        <v>2.4</v>
      </c>
      <c r="X90" s="4">
        <v>2.4</v>
      </c>
      <c r="Y90" s="4"/>
      <c r="Z90" s="4"/>
      <c r="AA90" s="4"/>
      <c r="AB90" s="4"/>
    </row>
    <row r="91" spans="1:28" x14ac:dyDescent="0.25">
      <c r="A91" s="4" t="s">
        <v>14</v>
      </c>
      <c r="B91" s="4">
        <v>1.55</v>
      </c>
      <c r="C91" s="4">
        <v>1.55</v>
      </c>
      <c r="D91" s="4">
        <v>1.55</v>
      </c>
      <c r="E91" s="4">
        <v>2.15</v>
      </c>
      <c r="F91" s="4">
        <v>2.63</v>
      </c>
      <c r="G91" s="4">
        <v>1.98</v>
      </c>
      <c r="H91" s="4">
        <v>1.79</v>
      </c>
      <c r="I91" s="4">
        <v>1.79</v>
      </c>
      <c r="J91" s="4"/>
      <c r="K91" s="4"/>
      <c r="L91" s="4"/>
      <c r="M91" s="4"/>
      <c r="N91" s="4"/>
      <c r="O91" s="4"/>
      <c r="P91" s="4" t="s">
        <v>14</v>
      </c>
      <c r="Q91" s="4">
        <v>1.71</v>
      </c>
      <c r="R91" s="4">
        <v>1.71</v>
      </c>
      <c r="S91" s="4">
        <v>1.71</v>
      </c>
      <c r="T91" s="4">
        <v>2.0699999999999998</v>
      </c>
      <c r="U91" s="4">
        <v>2.2799999999999998</v>
      </c>
      <c r="V91" s="4">
        <v>2.39</v>
      </c>
      <c r="W91" s="4">
        <v>2.4</v>
      </c>
      <c r="X91" s="4">
        <v>2.4</v>
      </c>
      <c r="Y91" s="4"/>
      <c r="Z91" s="4"/>
      <c r="AA91" s="4"/>
      <c r="AB91" s="4"/>
    </row>
    <row r="92" spans="1:28" x14ac:dyDescent="0.25">
      <c r="A92" s="4" t="s">
        <v>15</v>
      </c>
      <c r="B92" s="4">
        <v>1.55</v>
      </c>
      <c r="C92" s="4">
        <v>1.55</v>
      </c>
      <c r="D92" s="4">
        <v>1.55</v>
      </c>
      <c r="E92" s="4">
        <v>2.15</v>
      </c>
      <c r="F92" s="4">
        <v>2.63</v>
      </c>
      <c r="G92" s="4">
        <v>1.98</v>
      </c>
      <c r="H92" s="4">
        <v>1.79</v>
      </c>
      <c r="I92" s="4">
        <v>1.79</v>
      </c>
      <c r="J92" s="4"/>
      <c r="K92" s="4"/>
      <c r="L92" s="4"/>
      <c r="M92" s="4"/>
      <c r="N92" s="4"/>
      <c r="O92" s="4"/>
      <c r="P92" s="4" t="s">
        <v>15</v>
      </c>
      <c r="Q92" s="4">
        <v>1.71</v>
      </c>
      <c r="R92" s="4">
        <v>1.71</v>
      </c>
      <c r="S92" s="4">
        <v>1.71</v>
      </c>
      <c r="T92" s="4">
        <v>2.0699999999999998</v>
      </c>
      <c r="U92" s="4">
        <v>2.2799999999999998</v>
      </c>
      <c r="V92" s="4">
        <v>2.39</v>
      </c>
      <c r="W92" s="4">
        <v>2.4</v>
      </c>
      <c r="X92" s="4">
        <v>2.4</v>
      </c>
      <c r="Y92" s="4"/>
      <c r="Z92" s="4"/>
      <c r="AA92" s="4"/>
      <c r="AB92" s="4"/>
    </row>
    <row r="93" spans="1:28" x14ac:dyDescent="0.25">
      <c r="A93" s="4" t="s">
        <v>16</v>
      </c>
      <c r="B93" s="4">
        <v>1.55</v>
      </c>
      <c r="C93" s="4">
        <v>1.55</v>
      </c>
      <c r="D93" s="4">
        <v>1.55</v>
      </c>
      <c r="E93" s="4">
        <v>2.15</v>
      </c>
      <c r="F93" s="4">
        <v>2.63</v>
      </c>
      <c r="G93" s="4">
        <v>1.98</v>
      </c>
      <c r="H93" s="4">
        <v>1.79</v>
      </c>
      <c r="I93" s="4">
        <v>1.79</v>
      </c>
      <c r="J93" s="4"/>
      <c r="K93" s="4"/>
      <c r="L93" s="4"/>
      <c r="M93" s="4"/>
      <c r="N93" s="4"/>
      <c r="O93" s="4"/>
      <c r="P93" s="4" t="s">
        <v>16</v>
      </c>
      <c r="Q93" s="4">
        <v>1.71</v>
      </c>
      <c r="R93" s="4">
        <v>1.71</v>
      </c>
      <c r="S93" s="4">
        <v>1.71</v>
      </c>
      <c r="T93" s="4">
        <v>2.0699999999999998</v>
      </c>
      <c r="U93" s="4">
        <v>2.2799999999999998</v>
      </c>
      <c r="V93" s="4">
        <v>2.39</v>
      </c>
      <c r="W93" s="4">
        <v>2.4</v>
      </c>
      <c r="X93" s="4">
        <v>2.4</v>
      </c>
      <c r="Y93" s="4"/>
      <c r="Z93" s="4"/>
      <c r="AA93" s="4"/>
      <c r="AB93" s="4"/>
    </row>
    <row r="94" spans="1:28" x14ac:dyDescent="0.25">
      <c r="A94" s="4" t="s">
        <v>17</v>
      </c>
      <c r="B94" s="4">
        <v>1.55</v>
      </c>
      <c r="C94" s="4">
        <v>1.55</v>
      </c>
      <c r="D94" s="4">
        <v>1.55</v>
      </c>
      <c r="E94" s="4">
        <v>2.15</v>
      </c>
      <c r="F94" s="4">
        <v>2.63</v>
      </c>
      <c r="G94" s="4">
        <v>1.98</v>
      </c>
      <c r="H94" s="4">
        <v>1.79</v>
      </c>
      <c r="I94" s="4">
        <v>1.79</v>
      </c>
      <c r="J94" s="4"/>
      <c r="K94" s="4"/>
      <c r="L94" s="4"/>
      <c r="M94" s="4"/>
      <c r="N94" s="4"/>
      <c r="O94" s="4"/>
      <c r="P94" s="4" t="s">
        <v>17</v>
      </c>
      <c r="Q94" s="4">
        <v>1.71</v>
      </c>
      <c r="R94" s="4">
        <v>1.71</v>
      </c>
      <c r="S94" s="4">
        <v>1.71</v>
      </c>
      <c r="T94" s="4">
        <v>2.0699999999999998</v>
      </c>
      <c r="U94" s="4">
        <v>2.2799999999999998</v>
      </c>
      <c r="V94" s="4">
        <v>2.39</v>
      </c>
      <c r="W94" s="4">
        <v>2.4</v>
      </c>
      <c r="X94" s="4">
        <v>2.4</v>
      </c>
      <c r="Y94" s="4"/>
      <c r="Z94" s="4"/>
      <c r="AA94" s="4"/>
      <c r="AB94" s="4"/>
    </row>
    <row r="95" spans="1:28" x14ac:dyDescent="0.25">
      <c r="A95" s="4" t="s">
        <v>18</v>
      </c>
      <c r="B95" s="4">
        <v>1.55</v>
      </c>
      <c r="C95" s="4">
        <v>1.55</v>
      </c>
      <c r="D95" s="4">
        <v>1.55</v>
      </c>
      <c r="E95" s="4">
        <v>2.15</v>
      </c>
      <c r="F95" s="4">
        <v>2.63</v>
      </c>
      <c r="G95" s="4">
        <v>1.98</v>
      </c>
      <c r="H95" s="4">
        <v>1.79</v>
      </c>
      <c r="I95" s="4">
        <v>1.79</v>
      </c>
      <c r="J95" s="4"/>
      <c r="K95" s="4"/>
      <c r="L95" s="4"/>
      <c r="M95" s="4"/>
      <c r="N95" s="4"/>
      <c r="O95" s="4"/>
      <c r="P95" s="4" t="s">
        <v>18</v>
      </c>
      <c r="Q95" s="4">
        <v>1.71</v>
      </c>
      <c r="R95" s="4">
        <v>1.71</v>
      </c>
      <c r="S95" s="4">
        <v>1.71</v>
      </c>
      <c r="T95" s="4">
        <v>2.0699999999999998</v>
      </c>
      <c r="U95" s="4">
        <v>2.2799999999999998</v>
      </c>
      <c r="V95" s="4">
        <v>2.39</v>
      </c>
      <c r="W95" s="4">
        <v>2.4</v>
      </c>
      <c r="X95" s="4">
        <v>2.4</v>
      </c>
      <c r="Y95" s="4"/>
      <c r="Z95" s="4"/>
      <c r="AA95" s="4"/>
      <c r="AB95" s="4"/>
    </row>
    <row r="96" spans="1:28" x14ac:dyDescent="0.25">
      <c r="A96" s="4" t="s">
        <v>19</v>
      </c>
      <c r="B96" s="4">
        <v>1.43</v>
      </c>
      <c r="C96" s="4">
        <v>1.43</v>
      </c>
      <c r="D96" s="4">
        <v>1.43</v>
      </c>
      <c r="E96" s="4">
        <v>1.78</v>
      </c>
      <c r="F96" s="4">
        <v>2.2400000000000002</v>
      </c>
      <c r="G96" s="4">
        <v>1.88</v>
      </c>
      <c r="H96" s="4">
        <v>1.4</v>
      </c>
      <c r="I96" s="4">
        <v>1.4</v>
      </c>
      <c r="J96" s="4"/>
      <c r="K96" s="4"/>
      <c r="L96" s="4"/>
      <c r="M96" s="4"/>
      <c r="N96" s="4"/>
      <c r="O96" s="4"/>
      <c r="P96" s="4" t="s">
        <v>19</v>
      </c>
      <c r="Q96" s="4">
        <v>0.91</v>
      </c>
      <c r="R96" s="4">
        <v>0.91</v>
      </c>
      <c r="S96" s="4">
        <v>0.91</v>
      </c>
      <c r="T96" s="4">
        <v>1.06</v>
      </c>
      <c r="U96" s="4">
        <v>1.41</v>
      </c>
      <c r="V96" s="4">
        <v>1.46</v>
      </c>
      <c r="W96" s="4">
        <v>1.47</v>
      </c>
      <c r="X96" s="4">
        <v>1.47</v>
      </c>
      <c r="Y96" s="4"/>
      <c r="Z96" s="4"/>
      <c r="AA96" s="4"/>
      <c r="AB96" s="4"/>
    </row>
    <row r="97" spans="1:28" x14ac:dyDescent="0.25">
      <c r="A97" s="4" t="s">
        <v>20</v>
      </c>
      <c r="B97" s="4">
        <v>1.1000000000000001</v>
      </c>
      <c r="C97" s="4">
        <v>1.1000000000000001</v>
      </c>
      <c r="D97" s="4">
        <v>1.1000000000000001</v>
      </c>
      <c r="E97" s="4">
        <v>1.37</v>
      </c>
      <c r="F97" s="4">
        <v>1.53</v>
      </c>
      <c r="G97" s="4">
        <v>1.23</v>
      </c>
      <c r="H97" s="4">
        <v>1.19</v>
      </c>
      <c r="I97" s="4">
        <v>1.19</v>
      </c>
      <c r="J97" s="4"/>
      <c r="K97" s="4"/>
      <c r="L97" s="4"/>
      <c r="M97" s="4"/>
      <c r="N97" s="4"/>
      <c r="O97" s="4"/>
      <c r="P97" s="4" t="s">
        <v>20</v>
      </c>
      <c r="Q97" s="4">
        <v>0.73</v>
      </c>
      <c r="R97" s="4">
        <v>0.73</v>
      </c>
      <c r="S97" s="4">
        <v>0.73</v>
      </c>
      <c r="T97" s="4">
        <v>0.79</v>
      </c>
      <c r="U97" s="4">
        <v>1.1599999999999999</v>
      </c>
      <c r="V97" s="4">
        <v>1.2</v>
      </c>
      <c r="W97" s="4">
        <v>1.21</v>
      </c>
      <c r="X97" s="4">
        <v>1.21</v>
      </c>
      <c r="Y97" s="4"/>
      <c r="Z97" s="4"/>
      <c r="AA97" s="4"/>
      <c r="AB97" s="4"/>
    </row>
    <row r="98" spans="1:28" x14ac:dyDescent="0.25">
      <c r="A98" s="4" t="s">
        <v>21</v>
      </c>
      <c r="B98" s="4">
        <v>0.82</v>
      </c>
      <c r="C98" s="4">
        <v>0.82</v>
      </c>
      <c r="D98" s="4">
        <v>0.82</v>
      </c>
      <c r="E98" s="4">
        <v>0.84</v>
      </c>
      <c r="F98" s="4">
        <v>0.92</v>
      </c>
      <c r="G98" s="4">
        <v>1.08</v>
      </c>
      <c r="H98" s="4">
        <v>0.99</v>
      </c>
      <c r="I98" s="4">
        <v>0.99</v>
      </c>
      <c r="J98" s="4"/>
      <c r="K98" s="4"/>
      <c r="L98" s="4"/>
      <c r="M98" s="4"/>
      <c r="N98" s="4"/>
      <c r="O98" s="4"/>
      <c r="P98" s="4" t="s">
        <v>21</v>
      </c>
      <c r="Q98" s="4">
        <v>0.75</v>
      </c>
      <c r="R98" s="4">
        <v>0.75</v>
      </c>
      <c r="S98" s="4">
        <v>0.75</v>
      </c>
      <c r="T98" s="4">
        <v>0.76</v>
      </c>
      <c r="U98" s="4">
        <v>0.94</v>
      </c>
      <c r="V98" s="4">
        <v>0.97</v>
      </c>
      <c r="W98" s="4">
        <v>0.97</v>
      </c>
      <c r="X98" s="4">
        <v>0.97</v>
      </c>
      <c r="Y98" s="4"/>
      <c r="Z98" s="4"/>
      <c r="AA98" s="4"/>
      <c r="AB98" s="4"/>
    </row>
    <row r="99" spans="1:28" x14ac:dyDescent="0.25">
      <c r="A99" s="4" t="s">
        <v>22</v>
      </c>
      <c r="B99" s="4">
        <v>0.73</v>
      </c>
      <c r="C99" s="4">
        <v>0.73</v>
      </c>
      <c r="D99" s="4">
        <v>0.73</v>
      </c>
      <c r="E99" s="4">
        <v>0.7</v>
      </c>
      <c r="F99" s="4">
        <v>0.74</v>
      </c>
      <c r="G99" s="4">
        <v>0.99</v>
      </c>
      <c r="H99" s="4">
        <v>0.94</v>
      </c>
      <c r="I99" s="4">
        <v>0.94</v>
      </c>
      <c r="J99" s="4"/>
      <c r="K99" s="4"/>
      <c r="L99" s="4"/>
      <c r="M99" s="4"/>
      <c r="N99" s="4"/>
      <c r="O99" s="4"/>
      <c r="P99" s="4" t="s">
        <v>22</v>
      </c>
      <c r="Q99" s="4">
        <v>0.77</v>
      </c>
      <c r="R99" s="4">
        <v>0.77</v>
      </c>
      <c r="S99" s="4">
        <v>0.77</v>
      </c>
      <c r="T99" s="4">
        <v>0.76</v>
      </c>
      <c r="U99" s="4">
        <v>0.81</v>
      </c>
      <c r="V99" s="4">
        <v>0.88</v>
      </c>
      <c r="W99" s="4">
        <v>0.89</v>
      </c>
      <c r="X99" s="4">
        <v>0.89</v>
      </c>
      <c r="Y99" s="4"/>
      <c r="Z99" s="4"/>
      <c r="AA99" s="4"/>
      <c r="AB99" s="4"/>
    </row>
    <row r="100" spans="1:28" x14ac:dyDescent="0.25">
      <c r="A100" s="4" t="s">
        <v>23</v>
      </c>
      <c r="B100" s="4">
        <v>0.74</v>
      </c>
      <c r="C100" s="4">
        <v>0.74</v>
      </c>
      <c r="D100" s="4">
        <v>0.74</v>
      </c>
      <c r="E100" s="4">
        <v>0.68</v>
      </c>
      <c r="F100" s="4">
        <v>0.69</v>
      </c>
      <c r="G100" s="4">
        <v>0.82</v>
      </c>
      <c r="H100" s="4">
        <v>0.92</v>
      </c>
      <c r="I100" s="4">
        <v>0.92</v>
      </c>
      <c r="J100" s="4"/>
      <c r="K100" s="4"/>
      <c r="L100" s="4"/>
      <c r="M100" s="4"/>
      <c r="N100" s="4"/>
      <c r="O100" s="4"/>
      <c r="P100" s="4" t="s">
        <v>23</v>
      </c>
      <c r="Q100" s="4">
        <v>0.84</v>
      </c>
      <c r="R100" s="4">
        <v>0.84</v>
      </c>
      <c r="S100" s="4">
        <v>0.84</v>
      </c>
      <c r="T100" s="4">
        <v>0.79</v>
      </c>
      <c r="U100" s="4">
        <v>0.78</v>
      </c>
      <c r="V100" s="4">
        <v>0.86</v>
      </c>
      <c r="W100" s="4">
        <v>0.86</v>
      </c>
      <c r="X100" s="4">
        <v>0.86</v>
      </c>
      <c r="Y100" s="4"/>
      <c r="Z100" s="4"/>
      <c r="AA100" s="4"/>
      <c r="AB100" s="4"/>
    </row>
    <row r="101" spans="1:28" x14ac:dyDescent="0.25">
      <c r="A101" s="4" t="s">
        <v>24</v>
      </c>
      <c r="B101" s="4">
        <v>0.8</v>
      </c>
      <c r="C101" s="4">
        <v>0.8</v>
      </c>
      <c r="D101" s="4">
        <v>0.8</v>
      </c>
      <c r="E101" s="4">
        <v>0.69</v>
      </c>
      <c r="F101" s="4">
        <v>0.68</v>
      </c>
      <c r="G101" s="4">
        <v>0.71</v>
      </c>
      <c r="H101" s="4">
        <v>0.89</v>
      </c>
      <c r="I101" s="4">
        <v>0.89</v>
      </c>
      <c r="J101" s="4"/>
      <c r="K101" s="4"/>
      <c r="L101" s="4"/>
      <c r="M101" s="4"/>
      <c r="N101" s="4"/>
      <c r="O101" s="4"/>
      <c r="P101" s="4" t="s">
        <v>24</v>
      </c>
      <c r="Q101" s="4">
        <v>0.92</v>
      </c>
      <c r="R101" s="4">
        <v>0.92</v>
      </c>
      <c r="S101" s="4">
        <v>0.92</v>
      </c>
      <c r="T101" s="4">
        <v>0.83</v>
      </c>
      <c r="U101" s="4">
        <v>0.77</v>
      </c>
      <c r="V101" s="4">
        <v>0.83</v>
      </c>
      <c r="W101" s="4">
        <v>0.86</v>
      </c>
      <c r="X101" s="4">
        <v>0.86</v>
      </c>
      <c r="Y101" s="4"/>
      <c r="Z101" s="4"/>
      <c r="AA101" s="4"/>
      <c r="AB101" s="4"/>
    </row>
    <row r="102" spans="1:28" x14ac:dyDescent="0.25">
      <c r="A102" s="4" t="s">
        <v>25</v>
      </c>
      <c r="B102" s="4">
        <v>0.81</v>
      </c>
      <c r="C102" s="4">
        <v>0.81</v>
      </c>
      <c r="D102" s="4">
        <v>0.81</v>
      </c>
      <c r="E102" s="4">
        <v>0.72</v>
      </c>
      <c r="F102" s="4">
        <v>0.69</v>
      </c>
      <c r="G102" s="4">
        <v>0.67</v>
      </c>
      <c r="H102" s="4">
        <v>0.84</v>
      </c>
      <c r="I102" s="4">
        <v>0.84</v>
      </c>
      <c r="J102" s="4"/>
      <c r="K102" s="4"/>
      <c r="L102" s="4"/>
      <c r="M102" s="4"/>
      <c r="N102" s="4"/>
      <c r="O102" s="4"/>
      <c r="P102" s="4" t="s">
        <v>25</v>
      </c>
      <c r="Q102" s="4">
        <v>0.95</v>
      </c>
      <c r="R102" s="4">
        <v>0.95</v>
      </c>
      <c r="S102" s="4">
        <v>0.95</v>
      </c>
      <c r="T102" s="4">
        <v>0.91</v>
      </c>
      <c r="U102" s="4">
        <v>0.78</v>
      </c>
      <c r="V102" s="4">
        <v>0.78</v>
      </c>
      <c r="W102" s="4">
        <v>0.85</v>
      </c>
      <c r="X102" s="4">
        <v>0.85</v>
      </c>
      <c r="Y102" s="4"/>
      <c r="Z102" s="4"/>
      <c r="AA102" s="4"/>
      <c r="AB102" s="4"/>
    </row>
    <row r="103" spans="1:28" x14ac:dyDescent="0.25">
      <c r="A103" s="4" t="s">
        <v>26</v>
      </c>
      <c r="B103" s="4">
        <v>0.81</v>
      </c>
      <c r="C103" s="4">
        <v>0.81</v>
      </c>
      <c r="D103" s="4">
        <v>0.81</v>
      </c>
      <c r="E103" s="4">
        <v>0.78</v>
      </c>
      <c r="F103" s="4">
        <v>0.72</v>
      </c>
      <c r="G103" s="4">
        <v>0.67</v>
      </c>
      <c r="H103" s="4">
        <v>0.73</v>
      </c>
      <c r="I103" s="4">
        <v>0.73</v>
      </c>
      <c r="J103" s="4"/>
      <c r="K103" s="4"/>
      <c r="L103" s="4"/>
      <c r="M103" s="4"/>
      <c r="N103" s="4"/>
      <c r="O103" s="4"/>
      <c r="P103" s="4" t="s">
        <v>26</v>
      </c>
      <c r="Q103" s="4">
        <v>0.96</v>
      </c>
      <c r="R103" s="4">
        <v>0.96</v>
      </c>
      <c r="S103" s="4">
        <v>0.96</v>
      </c>
      <c r="T103" s="4">
        <v>0.96</v>
      </c>
      <c r="U103" s="4">
        <v>0.81</v>
      </c>
      <c r="V103" s="4">
        <v>0.76</v>
      </c>
      <c r="W103" s="4">
        <v>0.79</v>
      </c>
      <c r="X103" s="4">
        <v>0.79</v>
      </c>
      <c r="Y103" s="4"/>
      <c r="Z103" s="4"/>
      <c r="AA103" s="4"/>
      <c r="AB103" s="4"/>
    </row>
    <row r="104" spans="1:28" x14ac:dyDescent="0.25">
      <c r="A104" s="4" t="s">
        <v>27</v>
      </c>
      <c r="B104" s="4">
        <v>0.82</v>
      </c>
      <c r="C104" s="4">
        <v>0.82</v>
      </c>
      <c r="D104" s="4">
        <v>0.82</v>
      </c>
      <c r="E104" s="4">
        <v>0.91</v>
      </c>
      <c r="F104" s="4">
        <v>0.77</v>
      </c>
      <c r="G104" s="4">
        <v>0.7</v>
      </c>
      <c r="H104" s="4">
        <v>0.69</v>
      </c>
      <c r="I104" s="4">
        <v>0.69</v>
      </c>
      <c r="J104" s="4"/>
      <c r="K104" s="4"/>
      <c r="L104" s="4"/>
      <c r="M104" s="4"/>
      <c r="N104" s="4"/>
      <c r="O104" s="4"/>
      <c r="P104" s="4" t="s">
        <v>27</v>
      </c>
      <c r="Q104" s="4">
        <v>0.96</v>
      </c>
      <c r="R104" s="4">
        <v>0.96</v>
      </c>
      <c r="S104" s="4">
        <v>0.96</v>
      </c>
      <c r="T104" s="4">
        <v>0.96</v>
      </c>
      <c r="U104" s="4">
        <v>0.86</v>
      </c>
      <c r="V104" s="4">
        <v>0.78</v>
      </c>
      <c r="W104" s="4">
        <v>0.78</v>
      </c>
      <c r="X104" s="4">
        <v>0.78</v>
      </c>
      <c r="Y104" s="4"/>
      <c r="Z104" s="4"/>
      <c r="AA104" s="4"/>
      <c r="AB104" s="4"/>
    </row>
    <row r="105" spans="1:28" x14ac:dyDescent="0.25">
      <c r="A105" s="4" t="s">
        <v>28</v>
      </c>
      <c r="B105" s="4">
        <v>0.84</v>
      </c>
      <c r="C105" s="4">
        <v>0.84</v>
      </c>
      <c r="D105" s="4">
        <v>0.84</v>
      </c>
      <c r="E105" s="4">
        <v>1.01</v>
      </c>
      <c r="F105" s="4">
        <v>0.86</v>
      </c>
      <c r="G105" s="4">
        <v>0.74</v>
      </c>
      <c r="H105" s="4">
        <v>0.69</v>
      </c>
      <c r="I105" s="4">
        <v>0.69</v>
      </c>
      <c r="J105" s="4"/>
      <c r="K105" s="4"/>
      <c r="L105" s="4"/>
      <c r="M105" s="4"/>
      <c r="N105" s="4"/>
      <c r="O105" s="4"/>
      <c r="P105" s="4" t="s">
        <v>28</v>
      </c>
      <c r="Q105" s="4">
        <v>0.98</v>
      </c>
      <c r="R105" s="4">
        <v>0.98</v>
      </c>
      <c r="S105" s="4">
        <v>0.98</v>
      </c>
      <c r="T105" s="4">
        <v>0.98</v>
      </c>
      <c r="U105" s="4">
        <v>0.92</v>
      </c>
      <c r="V105" s="4">
        <v>0.79</v>
      </c>
      <c r="W105" s="4">
        <v>0.77</v>
      </c>
      <c r="X105" s="4">
        <v>0.77</v>
      </c>
      <c r="Y105" s="4"/>
      <c r="Z105" s="4"/>
      <c r="AA105" s="4"/>
      <c r="AB105" s="4"/>
    </row>
    <row r="106" spans="1:28" x14ac:dyDescent="0.25">
      <c r="A106" s="4" t="s">
        <v>29</v>
      </c>
      <c r="B106" s="4">
        <v>0.88</v>
      </c>
      <c r="C106" s="4">
        <v>0.88</v>
      </c>
      <c r="D106" s="4">
        <v>0.88</v>
      </c>
      <c r="E106" s="4">
        <v>1.08</v>
      </c>
      <c r="F106" s="4">
        <v>1.17</v>
      </c>
      <c r="G106" s="4">
        <v>1.02</v>
      </c>
      <c r="H106" s="4">
        <v>0.82</v>
      </c>
      <c r="I106" s="4">
        <v>0.82</v>
      </c>
      <c r="J106" s="4"/>
      <c r="K106" s="4"/>
      <c r="L106" s="4"/>
      <c r="M106" s="4"/>
      <c r="N106" s="4"/>
      <c r="O106" s="4"/>
      <c r="P106" s="4" t="s">
        <v>29</v>
      </c>
      <c r="Q106" s="4">
        <v>1</v>
      </c>
      <c r="R106" s="4">
        <v>1</v>
      </c>
      <c r="S106" s="4">
        <v>1</v>
      </c>
      <c r="T106" s="4">
        <v>1</v>
      </c>
      <c r="U106" s="4">
        <v>0.96</v>
      </c>
      <c r="V106" s="4">
        <v>0.84</v>
      </c>
      <c r="W106" s="4">
        <v>0.79</v>
      </c>
      <c r="X106" s="4">
        <v>0.79</v>
      </c>
      <c r="Y106" s="4"/>
      <c r="Z106" s="4"/>
      <c r="AA106" s="4"/>
      <c r="AB106" s="4"/>
    </row>
    <row r="107" spans="1:28" x14ac:dyDescent="0.25">
      <c r="A107" s="4" t="s">
        <v>30</v>
      </c>
      <c r="B107" s="4">
        <v>0.9</v>
      </c>
      <c r="C107" s="4">
        <v>0.9</v>
      </c>
      <c r="D107" s="4">
        <v>0.9</v>
      </c>
      <c r="E107" s="4">
        <v>1.1299999999999999</v>
      </c>
      <c r="F107" s="4">
        <v>1.24</v>
      </c>
      <c r="G107" s="4">
        <v>1.0900000000000001</v>
      </c>
      <c r="H107" s="4">
        <v>0.84</v>
      </c>
      <c r="I107" s="4">
        <v>0.84</v>
      </c>
      <c r="J107" s="4"/>
      <c r="K107" s="4"/>
      <c r="L107" s="4"/>
      <c r="M107" s="4"/>
      <c r="N107" s="4"/>
      <c r="O107" s="4"/>
      <c r="P107" s="4" t="s">
        <v>30</v>
      </c>
      <c r="Q107" s="4">
        <v>1.02</v>
      </c>
      <c r="R107" s="4">
        <v>1.02</v>
      </c>
      <c r="S107" s="4">
        <v>1.02</v>
      </c>
      <c r="T107" s="4">
        <v>1.02</v>
      </c>
      <c r="U107" s="4">
        <v>0.98</v>
      </c>
      <c r="V107" s="4">
        <v>0.93</v>
      </c>
      <c r="W107" s="4">
        <v>0.87</v>
      </c>
      <c r="X107" s="4">
        <v>0.87</v>
      </c>
      <c r="Y107" s="4"/>
      <c r="Z107" s="4"/>
      <c r="AA107" s="4"/>
      <c r="AB107" s="4"/>
    </row>
    <row r="108" spans="1:28" x14ac:dyDescent="0.25">
      <c r="A108" s="4" t="s">
        <v>31</v>
      </c>
      <c r="B108" s="4">
        <v>0.93</v>
      </c>
      <c r="C108" s="4">
        <v>0.93</v>
      </c>
      <c r="D108" s="4">
        <v>0.93</v>
      </c>
      <c r="E108" s="4">
        <v>1.19</v>
      </c>
      <c r="F108" s="4">
        <v>1.34</v>
      </c>
      <c r="G108" s="4">
        <v>1.1399999999999999</v>
      </c>
      <c r="H108" s="4">
        <v>0.86</v>
      </c>
      <c r="I108" s="4">
        <v>0.86</v>
      </c>
      <c r="J108" s="4"/>
      <c r="K108" s="4"/>
      <c r="L108" s="4"/>
      <c r="M108" s="4"/>
      <c r="N108" s="4"/>
      <c r="O108" s="4"/>
      <c r="P108" s="4" t="s">
        <v>31</v>
      </c>
      <c r="Q108" s="4">
        <v>1.1200000000000001</v>
      </c>
      <c r="R108" s="4">
        <v>1.1200000000000001</v>
      </c>
      <c r="S108" s="4">
        <v>1.1200000000000001</v>
      </c>
      <c r="T108" s="4">
        <v>1.1200000000000001</v>
      </c>
      <c r="U108" s="4">
        <v>1.05</v>
      </c>
      <c r="V108" s="4">
        <v>1.1000000000000001</v>
      </c>
      <c r="W108" s="4">
        <v>1.06</v>
      </c>
      <c r="X108" s="4">
        <v>1.06</v>
      </c>
      <c r="Y108" s="4"/>
      <c r="Z108" s="4"/>
      <c r="AA108" s="4"/>
      <c r="AB108" s="4"/>
    </row>
    <row r="109" spans="1:28" x14ac:dyDescent="0.25">
      <c r="A109" s="4" t="s">
        <v>32</v>
      </c>
      <c r="B109" s="4">
        <v>0.98</v>
      </c>
      <c r="C109" s="4">
        <v>0.98</v>
      </c>
      <c r="D109" s="4">
        <v>0.98</v>
      </c>
      <c r="E109" s="4">
        <v>1.24</v>
      </c>
      <c r="F109" s="4">
        <v>1.4</v>
      </c>
      <c r="G109" s="4">
        <v>1.2</v>
      </c>
      <c r="H109" s="4">
        <v>0.91</v>
      </c>
      <c r="I109" s="4">
        <v>0.91</v>
      </c>
      <c r="J109" s="4"/>
      <c r="K109" s="4"/>
      <c r="L109" s="4"/>
      <c r="M109" s="4"/>
      <c r="N109" s="4"/>
      <c r="O109" s="4"/>
      <c r="P109" s="4" t="s">
        <v>32</v>
      </c>
      <c r="Q109" s="4">
        <v>1.26</v>
      </c>
      <c r="R109" s="4">
        <v>1.26</v>
      </c>
      <c r="S109" s="4">
        <v>1.26</v>
      </c>
      <c r="T109" s="4">
        <v>1.26</v>
      </c>
      <c r="U109" s="4">
        <v>1.18</v>
      </c>
      <c r="V109" s="4">
        <v>1.29</v>
      </c>
      <c r="W109" s="4">
        <v>1.3</v>
      </c>
      <c r="X109" s="4">
        <v>1.3</v>
      </c>
      <c r="Y109" s="4"/>
      <c r="Z109" s="4"/>
      <c r="AA109" s="4"/>
      <c r="AB109" s="4"/>
    </row>
    <row r="110" spans="1:28" x14ac:dyDescent="0.25">
      <c r="A110" s="4" t="s">
        <v>33</v>
      </c>
      <c r="B110" s="4">
        <v>0.98</v>
      </c>
      <c r="C110" s="4">
        <v>0.98</v>
      </c>
      <c r="D110" s="4">
        <v>0.98</v>
      </c>
      <c r="E110" s="4">
        <v>1.24</v>
      </c>
      <c r="F110" s="4">
        <v>1.4</v>
      </c>
      <c r="G110" s="4">
        <v>1.2</v>
      </c>
      <c r="H110" s="4">
        <v>0.91</v>
      </c>
      <c r="I110" s="4">
        <v>0.91</v>
      </c>
      <c r="J110" s="4"/>
      <c r="K110" s="4"/>
      <c r="L110" s="4"/>
      <c r="M110" s="4"/>
      <c r="N110" s="4"/>
      <c r="O110" s="4"/>
      <c r="P110" s="4" t="s">
        <v>33</v>
      </c>
      <c r="Q110" s="4">
        <v>1.26</v>
      </c>
      <c r="R110" s="4">
        <v>1.26</v>
      </c>
      <c r="S110" s="4">
        <v>1.26</v>
      </c>
      <c r="T110" s="4">
        <v>1.26</v>
      </c>
      <c r="U110" s="4">
        <v>1.18</v>
      </c>
      <c r="V110" s="4">
        <v>1.29</v>
      </c>
      <c r="W110" s="4">
        <v>1.3</v>
      </c>
      <c r="X110" s="4">
        <v>1.3</v>
      </c>
      <c r="Y110" s="4"/>
      <c r="Z110" s="4"/>
      <c r="AA110" s="4"/>
      <c r="AB110" s="4"/>
    </row>
    <row r="111" spans="1:28" x14ac:dyDescent="0.25">
      <c r="A111" s="4" t="s">
        <v>34</v>
      </c>
      <c r="B111" s="4">
        <v>0.98</v>
      </c>
      <c r="C111" s="4">
        <v>0.98</v>
      </c>
      <c r="D111" s="4">
        <v>0.98</v>
      </c>
      <c r="E111" s="4">
        <v>1.24</v>
      </c>
      <c r="F111" s="4">
        <v>1.4</v>
      </c>
      <c r="G111" s="4">
        <v>1.2</v>
      </c>
      <c r="H111" s="4">
        <v>0.91</v>
      </c>
      <c r="I111" s="4">
        <v>0.91</v>
      </c>
      <c r="J111" s="4"/>
      <c r="K111" s="4"/>
      <c r="L111" s="4"/>
      <c r="M111" s="4"/>
      <c r="N111" s="4"/>
      <c r="O111" s="4"/>
      <c r="P111" s="4" t="s">
        <v>34</v>
      </c>
      <c r="Q111" s="4">
        <v>1.26</v>
      </c>
      <c r="R111" s="4">
        <v>1.26</v>
      </c>
      <c r="S111" s="4">
        <v>1.26</v>
      </c>
      <c r="T111" s="4">
        <v>1.26</v>
      </c>
      <c r="U111" s="4">
        <v>1.18</v>
      </c>
      <c r="V111" s="4">
        <v>1.29</v>
      </c>
      <c r="W111" s="4">
        <v>1.3</v>
      </c>
      <c r="X111" s="4">
        <v>1.3</v>
      </c>
      <c r="Y111" s="4"/>
      <c r="Z111" s="4"/>
      <c r="AA111" s="4"/>
      <c r="AB111" s="4"/>
    </row>
    <row r="112" spans="1:28" x14ac:dyDescent="0.25">
      <c r="A112" s="4" t="s">
        <v>35</v>
      </c>
      <c r="B112" s="4">
        <v>0.98</v>
      </c>
      <c r="C112" s="4">
        <v>0.98</v>
      </c>
      <c r="D112" s="4">
        <v>0.98</v>
      </c>
      <c r="E112" s="4">
        <v>1.24</v>
      </c>
      <c r="F112" s="4">
        <v>1.4</v>
      </c>
      <c r="G112" s="4">
        <v>1.2</v>
      </c>
      <c r="H112" s="4">
        <v>0.91</v>
      </c>
      <c r="I112" s="4">
        <v>0.91</v>
      </c>
      <c r="J112" s="4"/>
      <c r="K112" s="4"/>
      <c r="L112" s="4"/>
      <c r="M112" s="4"/>
      <c r="N112" s="4"/>
      <c r="O112" s="4"/>
      <c r="P112" s="4" t="s">
        <v>35</v>
      </c>
      <c r="Q112" s="4">
        <v>1.26</v>
      </c>
      <c r="R112" s="4">
        <v>1.26</v>
      </c>
      <c r="S112" s="4">
        <v>1.26</v>
      </c>
      <c r="T112" s="4">
        <v>1.26</v>
      </c>
      <c r="U112" s="4">
        <v>1.18</v>
      </c>
      <c r="V112" s="4">
        <v>1.29</v>
      </c>
      <c r="W112" s="4">
        <v>1.3</v>
      </c>
      <c r="X112" s="4">
        <v>1.3</v>
      </c>
      <c r="Y112" s="4"/>
      <c r="Z112" s="4"/>
      <c r="AA112" s="4"/>
      <c r="AB112" s="4"/>
    </row>
    <row r="113" spans="1:28" x14ac:dyDescent="0.25">
      <c r="A113" s="4" t="s">
        <v>36</v>
      </c>
      <c r="B113" s="4">
        <v>0.98</v>
      </c>
      <c r="C113" s="4">
        <v>0.98</v>
      </c>
      <c r="D113" s="4">
        <v>0.98</v>
      </c>
      <c r="E113" s="4">
        <v>1.24</v>
      </c>
      <c r="F113" s="4">
        <v>1.4</v>
      </c>
      <c r="G113" s="4">
        <v>1.2</v>
      </c>
      <c r="H113" s="4">
        <v>0.91</v>
      </c>
      <c r="I113" s="4">
        <v>0.91</v>
      </c>
      <c r="J113" s="4"/>
      <c r="K113" s="4"/>
      <c r="L113" s="4"/>
      <c r="M113" s="4"/>
      <c r="N113" s="4"/>
      <c r="O113" s="4"/>
      <c r="P113" s="4" t="s">
        <v>36</v>
      </c>
      <c r="Q113" s="4">
        <v>1.26</v>
      </c>
      <c r="R113" s="4">
        <v>1.26</v>
      </c>
      <c r="S113" s="4">
        <v>1.26</v>
      </c>
      <c r="T113" s="4">
        <v>1.26</v>
      </c>
      <c r="U113" s="4">
        <v>1.18</v>
      </c>
      <c r="V113" s="4">
        <v>1.29</v>
      </c>
      <c r="W113" s="4">
        <v>1.3</v>
      </c>
      <c r="X113" s="4">
        <v>1.3</v>
      </c>
      <c r="Y113" s="4"/>
      <c r="Z113" s="4"/>
      <c r="AA113" s="4"/>
      <c r="AB113" s="4"/>
    </row>
    <row r="116" spans="1:28" x14ac:dyDescent="0.25">
      <c r="A116" s="4" t="s">
        <v>89</v>
      </c>
      <c r="B116" s="4"/>
      <c r="C116" s="4"/>
      <c r="D116" s="4"/>
      <c r="E116" s="4"/>
      <c r="F116" s="4"/>
      <c r="G116" s="4"/>
      <c r="H116" s="4"/>
      <c r="I116" s="4"/>
      <c r="J116" s="4"/>
      <c r="K116" s="4"/>
      <c r="L116" s="4"/>
      <c r="M116" s="4"/>
      <c r="P116" s="4" t="s">
        <v>89</v>
      </c>
      <c r="Q116" s="4"/>
      <c r="R116" s="4"/>
      <c r="S116" s="4"/>
      <c r="T116" s="4"/>
      <c r="U116" s="4"/>
      <c r="V116" s="4"/>
      <c r="W116" s="4"/>
      <c r="X116" s="4"/>
      <c r="Y116" s="4"/>
      <c r="Z116" s="4"/>
      <c r="AA116" s="4"/>
      <c r="AB116" s="4"/>
    </row>
    <row r="117" spans="1:28" x14ac:dyDescent="0.25">
      <c r="A117" s="4"/>
      <c r="B117" s="4" t="s">
        <v>1</v>
      </c>
      <c r="C117" s="4" t="s">
        <v>2</v>
      </c>
      <c r="D117" s="4" t="s">
        <v>3</v>
      </c>
      <c r="E117" s="4" t="s">
        <v>4</v>
      </c>
      <c r="F117" s="4" t="s">
        <v>5</v>
      </c>
      <c r="G117" s="4" t="s">
        <v>6</v>
      </c>
      <c r="H117" s="4" t="s">
        <v>7</v>
      </c>
      <c r="I117" s="4" t="s">
        <v>8</v>
      </c>
      <c r="J117" s="4" t="s">
        <v>9</v>
      </c>
      <c r="K117" s="4" t="s">
        <v>10</v>
      </c>
      <c r="L117" s="4" t="s">
        <v>11</v>
      </c>
      <c r="M117" s="4" t="s">
        <v>12</v>
      </c>
      <c r="P117" s="4"/>
      <c r="Q117" s="4" t="s">
        <v>1</v>
      </c>
      <c r="R117" s="4" t="s">
        <v>2</v>
      </c>
      <c r="S117" s="4" t="s">
        <v>3</v>
      </c>
      <c r="T117" s="4" t="s">
        <v>4</v>
      </c>
      <c r="U117" s="4" t="s">
        <v>5</v>
      </c>
      <c r="V117" s="4" t="s">
        <v>6</v>
      </c>
      <c r="W117" s="4" t="s">
        <v>7</v>
      </c>
      <c r="X117" s="4" t="s">
        <v>8</v>
      </c>
      <c r="Y117" s="4" t="s">
        <v>9</v>
      </c>
      <c r="Z117" s="4" t="s">
        <v>10</v>
      </c>
      <c r="AA117" s="4" t="s">
        <v>11</v>
      </c>
      <c r="AB117" s="4" t="s">
        <v>12</v>
      </c>
    </row>
    <row r="118" spans="1:28" x14ac:dyDescent="0.25">
      <c r="A118" s="4" t="s">
        <v>13</v>
      </c>
      <c r="B118" s="62">
        <v>4317.034016295499</v>
      </c>
      <c r="C118" s="62">
        <v>4456.6721303639224</v>
      </c>
      <c r="D118" s="62">
        <v>4177.3959022270519</v>
      </c>
      <c r="E118" s="62">
        <v>3368.9987117794462</v>
      </c>
      <c r="F118" s="62">
        <v>1597.1870275689287</v>
      </c>
      <c r="G118" s="62">
        <v>-335.69844611529135</v>
      </c>
      <c r="H118" s="62">
        <v>-1624.2887619047633</v>
      </c>
      <c r="I118" s="62">
        <v>-1624.2887619047633</v>
      </c>
      <c r="J118" s="62">
        <v>-2107.5101303258211</v>
      </c>
      <c r="K118" s="62">
        <v>127.89059424226167</v>
      </c>
      <c r="L118" s="62">
        <v>1384.6336208582347</v>
      </c>
      <c r="M118" s="62">
        <v>2501.7385334057617</v>
      </c>
      <c r="P118" s="4" t="s">
        <v>13</v>
      </c>
      <c r="Q118" s="4">
        <v>4822.4918109723048</v>
      </c>
      <c r="R118" s="4">
        <v>4972.5398109722873</v>
      </c>
      <c r="S118" s="4">
        <v>4672.4438109722987</v>
      </c>
      <c r="T118" s="4">
        <v>3831.9697644110247</v>
      </c>
      <c r="U118" s="4">
        <v>1928.071238095245</v>
      </c>
      <c r="V118" s="4">
        <v>-148.90897243108117</v>
      </c>
      <c r="W118" s="4">
        <v>-1533.5624461152895</v>
      </c>
      <c r="X118" s="4">
        <v>-1533.5624461152895</v>
      </c>
      <c r="Y118" s="4">
        <v>-2052.8074987468744</v>
      </c>
      <c r="Z118" s="4">
        <v>321.05181097229973</v>
      </c>
      <c r="AA118" s="4">
        <v>1671.4838109723037</v>
      </c>
      <c r="AB118" s="4">
        <v>2871.8678109723019</v>
      </c>
    </row>
    <row r="119" spans="1:28" x14ac:dyDescent="0.25">
      <c r="A119" s="4" t="s">
        <v>14</v>
      </c>
      <c r="B119" s="62">
        <v>4735.9483585008156</v>
      </c>
      <c r="C119" s="62">
        <v>4456.6721303639224</v>
      </c>
      <c r="D119" s="62">
        <v>4735.9483585008156</v>
      </c>
      <c r="E119" s="62">
        <v>3530.0725012531366</v>
      </c>
      <c r="F119" s="62">
        <v>2080.4083959899745</v>
      </c>
      <c r="G119" s="62">
        <v>-174.62465664160121</v>
      </c>
      <c r="H119" s="62">
        <v>-1463.2149724310857</v>
      </c>
      <c r="I119" s="62">
        <v>-1302.1411829573954</v>
      </c>
      <c r="J119" s="62">
        <v>-1946.4363408521313</v>
      </c>
      <c r="K119" s="62">
        <v>686.4430505160251</v>
      </c>
      <c r="L119" s="62">
        <v>1663.9098489951057</v>
      </c>
      <c r="M119" s="62">
        <v>3199.9291037479602</v>
      </c>
      <c r="P119" s="4" t="s">
        <v>14</v>
      </c>
      <c r="Q119" s="4">
        <v>5272.6358109722978</v>
      </c>
      <c r="R119" s="4">
        <v>4972.5398109722873</v>
      </c>
      <c r="S119" s="4">
        <v>5272.6358109722978</v>
      </c>
      <c r="T119" s="4">
        <v>4005.0514486215579</v>
      </c>
      <c r="U119" s="4">
        <v>2447.3162907268165</v>
      </c>
      <c r="V119" s="4">
        <v>24.172711779451756</v>
      </c>
      <c r="W119" s="4">
        <v>-1360.4807619047704</v>
      </c>
      <c r="X119" s="4">
        <v>-1187.3990776942376</v>
      </c>
      <c r="Y119" s="4">
        <v>-1879.7258145363414</v>
      </c>
      <c r="Z119" s="4">
        <v>921.24381097229877</v>
      </c>
      <c r="AA119" s="4">
        <v>1971.5798109722916</v>
      </c>
      <c r="AB119" s="4">
        <v>3622.1078109722948</v>
      </c>
    </row>
    <row r="120" spans="1:28" x14ac:dyDescent="0.25">
      <c r="A120" s="4" t="s">
        <v>15</v>
      </c>
      <c r="B120" s="62">
        <v>5015.224586637697</v>
      </c>
      <c r="C120" s="62">
        <v>4875.5864725692618</v>
      </c>
      <c r="D120" s="62">
        <v>4875.5864725692618</v>
      </c>
      <c r="E120" s="62">
        <v>4174.3676591478725</v>
      </c>
      <c r="F120" s="62">
        <v>2402.5559749373419</v>
      </c>
      <c r="G120" s="62">
        <v>147.52292230576674</v>
      </c>
      <c r="H120" s="62">
        <v>-1302.1411829573954</v>
      </c>
      <c r="I120" s="62">
        <v>-979.9936040100273</v>
      </c>
      <c r="J120" s="62">
        <v>-1624.2887619047633</v>
      </c>
      <c r="K120" s="62">
        <v>965.71927865289604</v>
      </c>
      <c r="L120" s="62">
        <v>1803.5479630635521</v>
      </c>
      <c r="M120" s="62">
        <v>3339.5672178164073</v>
      </c>
      <c r="P120" s="4" t="s">
        <v>15</v>
      </c>
      <c r="Q120" s="4">
        <v>5572.7318109722974</v>
      </c>
      <c r="R120" s="4">
        <v>5422.6838109723039</v>
      </c>
      <c r="S120" s="4">
        <v>5422.6838109723039</v>
      </c>
      <c r="T120" s="4">
        <v>4697.3781854636627</v>
      </c>
      <c r="U120" s="4">
        <v>2793.4796591478685</v>
      </c>
      <c r="V120" s="4">
        <v>370.33608020050366</v>
      </c>
      <c r="W120" s="4">
        <v>-1187.3990776942376</v>
      </c>
      <c r="X120" s="4">
        <v>-841.23570927318542</v>
      </c>
      <c r="Y120" s="4">
        <v>-1533.5624461152895</v>
      </c>
      <c r="Z120" s="4">
        <v>1221.3398109722868</v>
      </c>
      <c r="AA120" s="4">
        <v>2121.6278109722971</v>
      </c>
      <c r="AB120" s="4">
        <v>3772.155810972301</v>
      </c>
    </row>
    <row r="121" spans="1:28" x14ac:dyDescent="0.25">
      <c r="A121" s="4" t="s">
        <v>16</v>
      </c>
      <c r="B121" s="62">
        <v>5154.8627007061323</v>
      </c>
      <c r="C121" s="62">
        <v>5294.5008147745784</v>
      </c>
      <c r="D121" s="62">
        <v>5434.1389288430255</v>
      </c>
      <c r="E121" s="62">
        <v>4496.5152380952277</v>
      </c>
      <c r="F121" s="62">
        <v>2885.7773433584007</v>
      </c>
      <c r="G121" s="62">
        <v>469.67050125312193</v>
      </c>
      <c r="H121" s="62">
        <v>-979.9936040100273</v>
      </c>
      <c r="I121" s="62">
        <v>-496.77223558896918</v>
      </c>
      <c r="J121" s="62">
        <v>-1302.1411829573954</v>
      </c>
      <c r="K121" s="62">
        <v>1244.9955067897886</v>
      </c>
      <c r="L121" s="62">
        <v>2222.4623052688694</v>
      </c>
      <c r="M121" s="62">
        <v>3479.2053318848421</v>
      </c>
      <c r="P121" s="4" t="s">
        <v>16</v>
      </c>
      <c r="Q121" s="4">
        <v>5722.7798109722917</v>
      </c>
      <c r="R121" s="4">
        <v>5872.8278109722978</v>
      </c>
      <c r="S121" s="4">
        <v>6022.8758109723021</v>
      </c>
      <c r="T121" s="4">
        <v>5043.541553884701</v>
      </c>
      <c r="U121" s="4">
        <v>3312.7247117794536</v>
      </c>
      <c r="V121" s="4">
        <v>716.49944862154246</v>
      </c>
      <c r="W121" s="4">
        <v>-841.23570927318542</v>
      </c>
      <c r="X121" s="4">
        <v>-321.99065664160054</v>
      </c>
      <c r="Y121" s="4">
        <v>-1187.3990776942376</v>
      </c>
      <c r="Z121" s="4">
        <v>1521.4358109722982</v>
      </c>
      <c r="AA121" s="4">
        <v>2571.7718109722905</v>
      </c>
      <c r="AB121" s="4">
        <v>3922.2038109722944</v>
      </c>
    </row>
    <row r="122" spans="1:28" x14ac:dyDescent="0.25">
      <c r="A122" s="4" t="s">
        <v>17</v>
      </c>
      <c r="B122" s="62">
        <v>5434.1389288430255</v>
      </c>
      <c r="C122" s="62">
        <v>5573.7770429114598</v>
      </c>
      <c r="D122" s="62">
        <v>5434.1389288430255</v>
      </c>
      <c r="E122" s="62">
        <v>4496.5152380952277</v>
      </c>
      <c r="F122" s="62">
        <v>2885.7773433584007</v>
      </c>
      <c r="G122" s="62">
        <v>791.81808020050266</v>
      </c>
      <c r="H122" s="62">
        <v>-979.9936040100273</v>
      </c>
      <c r="I122" s="62">
        <v>-335.69844611529135</v>
      </c>
      <c r="J122" s="62">
        <v>-979.9936040100273</v>
      </c>
      <c r="K122" s="62">
        <v>1663.9098489951057</v>
      </c>
      <c r="L122" s="62">
        <v>2222.4623052688694</v>
      </c>
      <c r="M122" s="62">
        <v>3618.8434459532887</v>
      </c>
      <c r="P122" s="4" t="s">
        <v>17</v>
      </c>
      <c r="Q122" s="4">
        <v>6022.8758109723021</v>
      </c>
      <c r="R122" s="4">
        <v>6172.9238109722974</v>
      </c>
      <c r="S122" s="4">
        <v>6022.8758109723021</v>
      </c>
      <c r="T122" s="4">
        <v>5043.541553884701</v>
      </c>
      <c r="U122" s="4">
        <v>3312.7247117794536</v>
      </c>
      <c r="V122" s="4">
        <v>1062.6628170426079</v>
      </c>
      <c r="W122" s="4">
        <v>-841.23570927318542</v>
      </c>
      <c r="X122" s="4">
        <v>-148.90897243108117</v>
      </c>
      <c r="Y122" s="4">
        <v>-841.23570927318542</v>
      </c>
      <c r="Z122" s="4">
        <v>1971.5798109722916</v>
      </c>
      <c r="AA122" s="4">
        <v>2571.7718109722905</v>
      </c>
      <c r="AB122" s="4">
        <v>4072.2518109723005</v>
      </c>
    </row>
    <row r="123" spans="1:28" x14ac:dyDescent="0.25">
      <c r="A123" s="4" t="s">
        <v>18</v>
      </c>
      <c r="B123" s="62">
        <v>5573.7770429114598</v>
      </c>
      <c r="C123" s="62">
        <v>5713.415156979896</v>
      </c>
      <c r="D123" s="62">
        <v>5434.1389288430255</v>
      </c>
      <c r="E123" s="62">
        <v>4657.5890275689171</v>
      </c>
      <c r="F123" s="62">
        <v>2885.7773433584007</v>
      </c>
      <c r="G123" s="62">
        <v>-496.77223558896918</v>
      </c>
      <c r="H123" s="62">
        <v>-979.9936040100273</v>
      </c>
      <c r="I123" s="62">
        <v>-174.62465664160121</v>
      </c>
      <c r="J123" s="62">
        <v>-1302.1411829573954</v>
      </c>
      <c r="K123" s="62">
        <v>1943.1860771319982</v>
      </c>
      <c r="L123" s="62">
        <v>2501.7385334057617</v>
      </c>
      <c r="M123" s="62">
        <v>3199.9291037479602</v>
      </c>
      <c r="P123" s="4" t="s">
        <v>18</v>
      </c>
      <c r="Q123" s="4">
        <v>6172.9238109722974</v>
      </c>
      <c r="R123" s="4">
        <v>6322.9718109722908</v>
      </c>
      <c r="S123" s="4">
        <v>6022.8758109723021</v>
      </c>
      <c r="T123" s="4">
        <v>5216.6232380952342</v>
      </c>
      <c r="U123" s="4">
        <v>3312.7247117794536</v>
      </c>
      <c r="V123" s="4">
        <v>-321.99065664160054</v>
      </c>
      <c r="W123" s="4">
        <v>-841.23570927318542</v>
      </c>
      <c r="X123" s="4">
        <v>24.172711779451756</v>
      </c>
      <c r="Y123" s="4">
        <v>-1187.3990776942376</v>
      </c>
      <c r="Z123" s="4">
        <v>2271.6758109723032</v>
      </c>
      <c r="AA123" s="4">
        <v>2871.8678109723019</v>
      </c>
      <c r="AB123" s="4">
        <v>3622.1078109722948</v>
      </c>
    </row>
    <row r="124" spans="1:28" x14ac:dyDescent="0.25">
      <c r="A124" s="4" t="s">
        <v>19</v>
      </c>
      <c r="B124" s="62">
        <v>-4696.0005918367378</v>
      </c>
      <c r="C124" s="62">
        <v>-4696.0005918367378</v>
      </c>
      <c r="D124" s="62">
        <v>-5351.8010204081647</v>
      </c>
      <c r="E124" s="62">
        <v>-12148.588401215802</v>
      </c>
      <c r="F124" s="62">
        <v>-17097.323550151978</v>
      </c>
      <c r="G124" s="62">
        <v>-21004.219720364748</v>
      </c>
      <c r="H124" s="62">
        <v>-21785.598954407309</v>
      </c>
      <c r="I124" s="62">
        <v>-19962.380741641344</v>
      </c>
      <c r="J124" s="62">
        <v>-21004.219720364748</v>
      </c>
      <c r="K124" s="62">
        <v>-9778.4539132653063</v>
      </c>
      <c r="L124" s="62">
        <v>-9122.6534846938794</v>
      </c>
      <c r="M124" s="62">
        <v>-8302.9029489796012</v>
      </c>
      <c r="P124" s="4" t="s">
        <v>19</v>
      </c>
      <c r="Q124" s="4">
        <v>-3968.0934489795955</v>
      </c>
      <c r="R124" s="4">
        <v>-3968.0934489795955</v>
      </c>
      <c r="S124" s="4">
        <v>-4672.7831632653078</v>
      </c>
      <c r="T124" s="4">
        <v>-11341.703294832823</v>
      </c>
      <c r="U124" s="4">
        <v>-16659.361848024317</v>
      </c>
      <c r="V124" s="4">
        <v>-20857.513337386023</v>
      </c>
      <c r="W124" s="4">
        <v>-21697.143635258373</v>
      </c>
      <c r="X124" s="4">
        <v>-19738.006273556239</v>
      </c>
      <c r="Y124" s="4">
        <v>-20857.513337386023</v>
      </c>
      <c r="Z124" s="4">
        <v>-9429.4387346938784</v>
      </c>
      <c r="AA124" s="4">
        <v>-8724.7490204081641</v>
      </c>
      <c r="AB124" s="4">
        <v>-7843.8868775510291</v>
      </c>
    </row>
    <row r="125" spans="1:28" x14ac:dyDescent="0.25">
      <c r="A125" s="4" t="s">
        <v>20</v>
      </c>
      <c r="B125" s="62">
        <v>-9275.5057030812532</v>
      </c>
      <c r="C125" s="62">
        <v>-10475.663350140065</v>
      </c>
      <c r="D125" s="62">
        <v>-12635.947114845932</v>
      </c>
      <c r="E125" s="62">
        <v>-20782.091556650248</v>
      </c>
      <c r="F125" s="62">
        <v>-27113.95776354679</v>
      </c>
      <c r="G125" s="62">
        <v>-27747.144384236468</v>
      </c>
      <c r="H125" s="62">
        <v>-31229.67079802955</v>
      </c>
      <c r="I125" s="62">
        <v>-30913.077487684743</v>
      </c>
      <c r="J125" s="62">
        <v>-29963.297556650243</v>
      </c>
      <c r="K125" s="62">
        <v>-22237.208291316547</v>
      </c>
      <c r="L125" s="62">
        <v>-17676.609232492992</v>
      </c>
      <c r="M125" s="62">
        <v>-13116.010173669481</v>
      </c>
      <c r="P125" s="4" t="s">
        <v>20</v>
      </c>
      <c r="Q125" s="4">
        <v>-8388.7527619047814</v>
      </c>
      <c r="R125" s="4">
        <v>-9678.3809971988867</v>
      </c>
      <c r="S125" s="4">
        <v>-11999.711820728286</v>
      </c>
      <c r="T125" s="4">
        <v>-20249.741556650246</v>
      </c>
      <c r="U125" s="4">
        <v>-27053.642246305411</v>
      </c>
      <c r="V125" s="4">
        <v>-27734.032315270953</v>
      </c>
      <c r="W125" s="4">
        <v>-31476.177694581278</v>
      </c>
      <c r="X125" s="4">
        <v>-31135.982660098536</v>
      </c>
      <c r="Y125" s="4">
        <v>-30115.397556650245</v>
      </c>
      <c r="Z125" s="4">
        <v>-22316.737703081253</v>
      </c>
      <c r="AA125" s="4">
        <v>-17416.150408963582</v>
      </c>
      <c r="AB125" s="4">
        <v>-12515.563114845952</v>
      </c>
    </row>
    <row r="126" spans="1:28" x14ac:dyDescent="0.25">
      <c r="A126" s="4" t="s">
        <v>21</v>
      </c>
      <c r="B126" s="62">
        <v>-25005.958136645975</v>
      </c>
      <c r="C126" s="62">
        <v>-27401.055354037278</v>
      </c>
      <c r="D126" s="62">
        <v>-30195.335440993815</v>
      </c>
      <c r="E126" s="62">
        <v>-30334.260729483278</v>
      </c>
      <c r="F126" s="62">
        <v>-39320.12192097267</v>
      </c>
      <c r="G126" s="62">
        <v>-38148.053069908827</v>
      </c>
      <c r="H126" s="62">
        <v>-44399.086942249276</v>
      </c>
      <c r="I126" s="62">
        <v>-45180.466176291797</v>
      </c>
      <c r="J126" s="62">
        <v>-42054.94924012159</v>
      </c>
      <c r="K126" s="62">
        <v>-45364.284484472082</v>
      </c>
      <c r="L126" s="62">
        <v>-35384.712745341647</v>
      </c>
      <c r="M126" s="62">
        <v>-27001.872484472078</v>
      </c>
      <c r="P126" s="4" t="s">
        <v>21</v>
      </c>
      <c r="Q126" s="4">
        <v>-24245.458136645979</v>
      </c>
      <c r="R126" s="4">
        <v>-26819.10752795032</v>
      </c>
      <c r="S126" s="4">
        <v>-29821.698484472076</v>
      </c>
      <c r="T126" s="4">
        <v>-30026.82455927051</v>
      </c>
      <c r="U126" s="4">
        <v>-39682.572984802457</v>
      </c>
      <c r="V126" s="4">
        <v>-38423.12753799394</v>
      </c>
      <c r="W126" s="4">
        <v>-45140.169920972687</v>
      </c>
      <c r="X126" s="4">
        <v>-45979.80021884499</v>
      </c>
      <c r="Y126" s="4">
        <v>-42621.279027355631</v>
      </c>
      <c r="Z126" s="4">
        <v>-46121.477962732955</v>
      </c>
      <c r="AA126" s="4">
        <v>-35397.938832298169</v>
      </c>
      <c r="AB126" s="4">
        <v>-26390.16596273295</v>
      </c>
    </row>
    <row r="127" spans="1:28" x14ac:dyDescent="0.25">
      <c r="A127" s="4" t="s">
        <v>22</v>
      </c>
      <c r="B127" s="62">
        <v>-39028.990980694987</v>
      </c>
      <c r="C127" s="62">
        <v>-41510.398007722033</v>
      </c>
      <c r="D127" s="62">
        <v>-44488.086440154417</v>
      </c>
      <c r="E127" s="62">
        <v>-41096.829883597879</v>
      </c>
      <c r="F127" s="62">
        <v>-50618.080550264553</v>
      </c>
      <c r="G127" s="62">
        <v>-48804.508994709002</v>
      </c>
      <c r="H127" s="62">
        <v>-54698.61655026456</v>
      </c>
      <c r="I127" s="62">
        <v>-57872.366772486763</v>
      </c>
      <c r="J127" s="62">
        <v>-53791.830772486785</v>
      </c>
      <c r="K127" s="62">
        <v>-62850.49844015445</v>
      </c>
      <c r="L127" s="62">
        <v>-50443.463305019315</v>
      </c>
      <c r="M127" s="62">
        <v>-40517.835196911183</v>
      </c>
      <c r="P127" s="4" t="s">
        <v>22</v>
      </c>
      <c r="Q127" s="4">
        <v>-38675.461250965258</v>
      </c>
      <c r="R127" s="4">
        <v>-41341.85476447879</v>
      </c>
      <c r="S127" s="4">
        <v>-44541.526980694965</v>
      </c>
      <c r="T127" s="4">
        <v>-41179.452105820099</v>
      </c>
      <c r="U127" s="4">
        <v>-51410.502772486776</v>
      </c>
      <c r="V127" s="4">
        <v>-49461.731216931221</v>
      </c>
      <c r="W127" s="4">
        <v>-55795.23877248678</v>
      </c>
      <c r="X127" s="4">
        <v>-59205.588994708974</v>
      </c>
      <c r="Y127" s="4">
        <v>-54820.852994708999</v>
      </c>
      <c r="Z127" s="4">
        <v>-64272.838980694993</v>
      </c>
      <c r="AA127" s="4">
        <v>-50940.871413127425</v>
      </c>
      <c r="AB127" s="4">
        <v>-40275.297359073345</v>
      </c>
    </row>
    <row r="128" spans="1:28" x14ac:dyDescent="0.25">
      <c r="A128" s="4" t="s">
        <v>23</v>
      </c>
      <c r="B128" s="62">
        <v>-46115.129341614913</v>
      </c>
      <c r="C128" s="62">
        <v>-48776.348472049714</v>
      </c>
      <c r="D128" s="62">
        <v>-50905.323776397534</v>
      </c>
      <c r="E128" s="62">
        <v>-46444.125802197792</v>
      </c>
      <c r="F128" s="62">
        <v>-56331.578417582408</v>
      </c>
      <c r="G128" s="62">
        <v>-55389.916263736297</v>
      </c>
      <c r="H128" s="62">
        <v>-61981.551340659324</v>
      </c>
      <c r="I128" s="62">
        <v>-63864.875648351634</v>
      </c>
      <c r="J128" s="62">
        <v>-58214.902725274718</v>
      </c>
      <c r="K128" s="62">
        <v>-70598.345341614913</v>
      </c>
      <c r="L128" s="62">
        <v>-58356.737341614913</v>
      </c>
      <c r="M128" s="62">
        <v>-50373.079950310559</v>
      </c>
      <c r="P128" s="4" t="s">
        <v>23</v>
      </c>
      <c r="Q128" s="4">
        <v>-46053.407602484476</v>
      </c>
      <c r="R128" s="4">
        <v>-48913.018037267102</v>
      </c>
      <c r="S128" s="4">
        <v>-51200.706385093188</v>
      </c>
      <c r="T128" s="4">
        <v>-46810.725802197798</v>
      </c>
      <c r="U128" s="4">
        <v>-57435.278417582405</v>
      </c>
      <c r="V128" s="4">
        <v>-56423.416263736297</v>
      </c>
      <c r="W128" s="4">
        <v>-63506.451340659325</v>
      </c>
      <c r="X128" s="4">
        <v>-65530.175648351629</v>
      </c>
      <c r="Y128" s="4">
        <v>-59459.002725274724</v>
      </c>
      <c r="Z128" s="4">
        <v>-72361.823602484481</v>
      </c>
      <c r="AA128" s="4">
        <v>-59207.615602484475</v>
      </c>
      <c r="AB128" s="4">
        <v>-50628.784298136648</v>
      </c>
    </row>
    <row r="129" spans="1:28" x14ac:dyDescent="0.25">
      <c r="A129" s="4" t="s">
        <v>24</v>
      </c>
      <c r="B129" s="62">
        <v>-48953.576773109242</v>
      </c>
      <c r="C129" s="62">
        <v>-49493.647714285733</v>
      </c>
      <c r="D129" s="62">
        <v>-54354.286184873978</v>
      </c>
      <c r="E129" s="62">
        <v>-49908.970864564028</v>
      </c>
      <c r="F129" s="62">
        <v>-57540.103124304274</v>
      </c>
      <c r="G129" s="62">
        <v>-56586.211591836756</v>
      </c>
      <c r="H129" s="62">
        <v>-64694.289617810748</v>
      </c>
      <c r="I129" s="62">
        <v>-67555.964215213375</v>
      </c>
      <c r="J129" s="62">
        <v>-62309.56078664193</v>
      </c>
      <c r="K129" s="62">
        <v>-74876.981949579873</v>
      </c>
      <c r="L129" s="62">
        <v>-61915.279361344517</v>
      </c>
      <c r="M129" s="62">
        <v>-52194.002420168057</v>
      </c>
      <c r="P129" s="4" t="s">
        <v>24</v>
      </c>
      <c r="Q129" s="4">
        <v>-49051.994420168063</v>
      </c>
      <c r="R129" s="4">
        <v>-49632.327126050433</v>
      </c>
      <c r="S129" s="4">
        <v>-54855.321478991624</v>
      </c>
      <c r="T129" s="4">
        <v>-50493.666968460137</v>
      </c>
      <c r="U129" s="4">
        <v>-58693.69273469389</v>
      </c>
      <c r="V129" s="4">
        <v>-57668.689513914665</v>
      </c>
      <c r="W129" s="4">
        <v>-66381.216890538009</v>
      </c>
      <c r="X129" s="4">
        <v>-69456.226552875713</v>
      </c>
      <c r="Y129" s="4">
        <v>-63818.708838589984</v>
      </c>
      <c r="Z129" s="4">
        <v>-76907.964302521053</v>
      </c>
      <c r="AA129" s="4">
        <v>-62979.979361344507</v>
      </c>
      <c r="AB129" s="4">
        <v>-52533.99065546217</v>
      </c>
    </row>
    <row r="130" spans="1:28" x14ac:dyDescent="0.25">
      <c r="A130" s="4" t="s">
        <v>25</v>
      </c>
      <c r="B130" s="62">
        <v>-48776.348472049714</v>
      </c>
      <c r="C130" s="62">
        <v>-51969.811428571447</v>
      </c>
      <c r="D130" s="62">
        <v>-54631.030559006205</v>
      </c>
      <c r="E130" s="62">
        <v>-50210.774417582405</v>
      </c>
      <c r="F130" s="62">
        <v>-57273.240571428563</v>
      </c>
      <c r="G130" s="62">
        <v>-56802.409494505504</v>
      </c>
      <c r="H130" s="62">
        <v>-64335.706725274722</v>
      </c>
      <c r="I130" s="62">
        <v>-67160.693186813223</v>
      </c>
      <c r="J130" s="62">
        <v>-62452.382417582419</v>
      </c>
      <c r="K130" s="62">
        <v>-72727.32064596274</v>
      </c>
      <c r="L130" s="62">
        <v>-61550.200298136646</v>
      </c>
      <c r="M130" s="62">
        <v>-53034.299080745353</v>
      </c>
      <c r="P130" s="4" t="s">
        <v>25</v>
      </c>
      <c r="Q130" s="4">
        <v>-48913.018037267102</v>
      </c>
      <c r="R130" s="4">
        <v>-52344.550559006231</v>
      </c>
      <c r="S130" s="4">
        <v>-55204.160993788813</v>
      </c>
      <c r="T130" s="4">
        <v>-50858.174417582406</v>
      </c>
      <c r="U130" s="4">
        <v>-58447.140571428565</v>
      </c>
      <c r="V130" s="4">
        <v>-57941.209494505507</v>
      </c>
      <c r="W130" s="4">
        <v>-66036.106725274716</v>
      </c>
      <c r="X130" s="4">
        <v>-69071.693186813223</v>
      </c>
      <c r="Y130" s="4">
        <v>-64012.382417582427</v>
      </c>
      <c r="Z130" s="4">
        <v>-74649.511950310567</v>
      </c>
      <c r="AA130" s="4">
        <v>-62639.148124223611</v>
      </c>
      <c r="AB130" s="4">
        <v>-53488.394732919267</v>
      </c>
    </row>
    <row r="131" spans="1:28" x14ac:dyDescent="0.25">
      <c r="A131" s="4" t="s">
        <v>26</v>
      </c>
      <c r="B131" s="62">
        <v>-47764.134619047632</v>
      </c>
      <c r="C131" s="62">
        <v>-49294.335619047619</v>
      </c>
      <c r="D131" s="62">
        <v>-53374.871619047648</v>
      </c>
      <c r="E131" s="62">
        <v>-47444.33032804235</v>
      </c>
      <c r="F131" s="62">
        <v>-55152.009439153429</v>
      </c>
      <c r="G131" s="62">
        <v>-55152.009439153429</v>
      </c>
      <c r="H131" s="62">
        <v>-61952.90277248677</v>
      </c>
      <c r="I131" s="62">
        <v>-65126.652994709009</v>
      </c>
      <c r="J131" s="62">
        <v>-60139.331216931219</v>
      </c>
      <c r="K131" s="62">
        <v>-69186.948619047616</v>
      </c>
      <c r="L131" s="62">
        <v>-58475.54161904761</v>
      </c>
      <c r="M131" s="62">
        <v>-51844.670619047632</v>
      </c>
      <c r="P131" s="4" t="s">
        <v>26</v>
      </c>
      <c r="Q131" s="4">
        <v>-47971.159619047641</v>
      </c>
      <c r="R131" s="4">
        <v>-49615.43561904761</v>
      </c>
      <c r="S131" s="4">
        <v>-54000.171619047644</v>
      </c>
      <c r="T131" s="4">
        <v>-48000.152550264567</v>
      </c>
      <c r="U131" s="4">
        <v>-56282.431661375653</v>
      </c>
      <c r="V131" s="4">
        <v>-56282.431661375653</v>
      </c>
      <c r="W131" s="4">
        <v>-63590.324994708986</v>
      </c>
      <c r="X131" s="4">
        <v>-67000.675216931224</v>
      </c>
      <c r="Y131" s="4">
        <v>-61641.553439153446</v>
      </c>
      <c r="Z131" s="4">
        <v>-70991.023619047599</v>
      </c>
      <c r="AA131" s="4">
        <v>-59481.091619047598</v>
      </c>
      <c r="AB131" s="4">
        <v>-52355.895619047638</v>
      </c>
    </row>
    <row r="132" spans="1:28" x14ac:dyDescent="0.25">
      <c r="A132" s="4" t="s">
        <v>27</v>
      </c>
      <c r="B132" s="62">
        <v>-42277.838604823788</v>
      </c>
      <c r="C132" s="62">
        <v>-46093.404734693875</v>
      </c>
      <c r="D132" s="62">
        <v>-48478.133565862721</v>
      </c>
      <c r="E132" s="62">
        <v>-44685.939029900357</v>
      </c>
      <c r="F132" s="62">
        <v>-51091.431588039864</v>
      </c>
      <c r="G132" s="62">
        <v>-50237.365913621295</v>
      </c>
      <c r="H132" s="62">
        <v>-57496.924146179408</v>
      </c>
      <c r="I132" s="62">
        <v>-61340.219681063136</v>
      </c>
      <c r="J132" s="62">
        <v>-56215.825634551482</v>
      </c>
      <c r="K132" s="62">
        <v>-63740.398085343251</v>
      </c>
      <c r="L132" s="62">
        <v>-53724.536994434158</v>
      </c>
      <c r="M132" s="62">
        <v>-46093.404734693875</v>
      </c>
      <c r="P132" s="4" t="s">
        <v>27</v>
      </c>
      <c r="Q132" s="4">
        <v>-42293.641202226383</v>
      </c>
      <c r="R132" s="4">
        <v>-46393.654085343216</v>
      </c>
      <c r="S132" s="4">
        <v>-48956.162137291292</v>
      </c>
      <c r="T132" s="4">
        <v>-45209.446006644539</v>
      </c>
      <c r="U132" s="4">
        <v>-52092.461820598</v>
      </c>
      <c r="V132" s="4">
        <v>-51174.72637873757</v>
      </c>
      <c r="W132" s="4">
        <v>-58975.477634551498</v>
      </c>
      <c r="X132" s="4">
        <v>-63105.287122923604</v>
      </c>
      <c r="Y132" s="4">
        <v>-57598.874471760784</v>
      </c>
      <c r="Z132" s="4">
        <v>-65356.213669758836</v>
      </c>
      <c r="AA132" s="4">
        <v>-54593.679851577013</v>
      </c>
      <c r="AB132" s="4">
        <v>-46393.654085343216</v>
      </c>
    </row>
    <row r="133" spans="1:28" x14ac:dyDescent="0.25">
      <c r="A133" s="4" t="s">
        <v>28</v>
      </c>
      <c r="B133" s="62">
        <v>-36145.282285714289</v>
      </c>
      <c r="C133" s="62">
        <v>-39134.512146179419</v>
      </c>
      <c r="D133" s="62">
        <v>-41696.709169435235</v>
      </c>
      <c r="E133" s="62">
        <v>-40574.090049689446</v>
      </c>
      <c r="F133" s="62">
        <v>-45364.284484472082</v>
      </c>
      <c r="G133" s="62">
        <v>-45364.284484472082</v>
      </c>
      <c r="H133" s="62">
        <v>-51352.027527950318</v>
      </c>
      <c r="I133" s="62">
        <v>-53747.124745341622</v>
      </c>
      <c r="J133" s="62">
        <v>-50154.478919254681</v>
      </c>
      <c r="K133" s="62">
        <v>-54080.661448504994</v>
      </c>
      <c r="L133" s="62">
        <v>-44685.939029900357</v>
      </c>
      <c r="M133" s="62">
        <v>-39561.54498338874</v>
      </c>
      <c r="P133" s="4" t="s">
        <v>28</v>
      </c>
      <c r="Q133" s="4">
        <v>-36032.091588039875</v>
      </c>
      <c r="R133" s="4">
        <v>-39244.165634551508</v>
      </c>
      <c r="S133" s="4">
        <v>-41997.371960132907</v>
      </c>
      <c r="T133" s="4">
        <v>-40974.179180124236</v>
      </c>
      <c r="U133" s="4">
        <v>-46121.477962732955</v>
      </c>
      <c r="V133" s="4">
        <v>-46121.477962732955</v>
      </c>
      <c r="W133" s="4">
        <v>-52555.6014409938</v>
      </c>
      <c r="X133" s="4">
        <v>-55129.250832298138</v>
      </c>
      <c r="Y133" s="4">
        <v>-51268.776745341638</v>
      </c>
      <c r="Z133" s="4">
        <v>-55304.53586710964</v>
      </c>
      <c r="AA133" s="4">
        <v>-45209.446006644539</v>
      </c>
      <c r="AB133" s="4">
        <v>-39703.033355481763</v>
      </c>
    </row>
    <row r="134" spans="1:28" x14ac:dyDescent="0.25">
      <c r="A134" s="4" t="s">
        <v>29</v>
      </c>
      <c r="B134" s="62">
        <v>-23429.453304029314</v>
      </c>
      <c r="C134" s="62">
        <v>-25940.552380952387</v>
      </c>
      <c r="D134" s="62">
        <v>-28137.764073260063</v>
      </c>
      <c r="E134" s="62">
        <v>-34675.450214285716</v>
      </c>
      <c r="F134" s="62">
        <v>-40031.153714285734</v>
      </c>
      <c r="G134" s="62">
        <v>-41943.904964285714</v>
      </c>
      <c r="H134" s="62">
        <v>-45769.407464285709</v>
      </c>
      <c r="I134" s="62">
        <v>-48064.708964285739</v>
      </c>
      <c r="J134" s="62">
        <v>-44621.75671428573</v>
      </c>
      <c r="K134" s="62">
        <v>-35357.173919413937</v>
      </c>
      <c r="L134" s="62">
        <v>-30021.088380952391</v>
      </c>
      <c r="M134" s="62">
        <v>-27509.989304029317</v>
      </c>
      <c r="P134" s="4" t="s">
        <v>29</v>
      </c>
      <c r="Q134" s="4">
        <v>-23112.253304029313</v>
      </c>
      <c r="R134" s="4">
        <v>-25810.552380952387</v>
      </c>
      <c r="S134" s="4">
        <v>-28171.564073260062</v>
      </c>
      <c r="T134" s="4">
        <v>-34745.162714285718</v>
      </c>
      <c r="U134" s="4">
        <v>-40500.128714285733</v>
      </c>
      <c r="V134" s="4">
        <v>-42555.473714285719</v>
      </c>
      <c r="W134" s="4">
        <v>-46666.163714285707</v>
      </c>
      <c r="X134" s="4">
        <v>-49132.577714285741</v>
      </c>
      <c r="Y134" s="4">
        <v>-45432.956714285727</v>
      </c>
      <c r="Z134" s="4">
        <v>-35929.173919413937</v>
      </c>
      <c r="AA134" s="4">
        <v>-30195.288380952392</v>
      </c>
      <c r="AB134" s="4">
        <v>-27496.989304029321</v>
      </c>
    </row>
    <row r="135" spans="1:28" x14ac:dyDescent="0.25">
      <c r="A135" s="4" t="s">
        <v>30</v>
      </c>
      <c r="B135" s="62">
        <v>-18848.97558525348</v>
      </c>
      <c r="C135" s="62">
        <v>-21218.31906912442</v>
      </c>
      <c r="D135" s="62">
        <v>-23291.494617511526</v>
      </c>
      <c r="E135" s="62">
        <v>-29470.870740524788</v>
      </c>
      <c r="F135" s="62">
        <v>-35092.01727113704</v>
      </c>
      <c r="G135" s="62">
        <v>-37340.475883381929</v>
      </c>
      <c r="H135" s="62">
        <v>-40713.163801749288</v>
      </c>
      <c r="I135" s="62">
        <v>-42212.136209912554</v>
      </c>
      <c r="J135" s="62">
        <v>-41087.906903790092</v>
      </c>
      <c r="K135" s="62">
        <v>-29511.021262672817</v>
      </c>
      <c r="L135" s="62">
        <v>-24179.998423963123</v>
      </c>
      <c r="M135" s="62">
        <v>-23883.830488479267</v>
      </c>
      <c r="P135" s="4" t="s">
        <v>30</v>
      </c>
      <c r="Q135" s="4">
        <v>2590.4223410138015</v>
      </c>
      <c r="R135" s="4">
        <v>44.446599078346772</v>
      </c>
      <c r="S135" s="4">
        <v>-2183.2821751152105</v>
      </c>
      <c r="T135" s="4">
        <v>-2762.5203032070012</v>
      </c>
      <c r="U135" s="4">
        <v>-8802.7178542274178</v>
      </c>
      <c r="V135" s="4">
        <v>-11218.796874635575</v>
      </c>
      <c r="W135" s="4">
        <v>-14842.91540524783</v>
      </c>
      <c r="X135" s="4">
        <v>-16453.634752186605</v>
      </c>
      <c r="Y135" s="4">
        <v>-15245.595241982506</v>
      </c>
      <c r="Z135" s="4">
        <v>-8866.4684976958561</v>
      </c>
      <c r="AA135" s="4">
        <v>-3138.0230783410029</v>
      </c>
      <c r="AB135" s="4">
        <v>-2819.7761105990808</v>
      </c>
    </row>
    <row r="136" spans="1:28" x14ac:dyDescent="0.25">
      <c r="A136" s="4" t="s">
        <v>31</v>
      </c>
      <c r="B136" s="62">
        <v>-15249.808810234546</v>
      </c>
      <c r="C136" s="62">
        <v>-16620.138063965878</v>
      </c>
      <c r="D136" s="62">
        <v>-17716.401466950949</v>
      </c>
      <c r="E136" s="62">
        <v>-22259.742595918393</v>
      </c>
      <c r="F136" s="62">
        <v>-28905.186938775514</v>
      </c>
      <c r="G136" s="62">
        <v>-31353.508538775495</v>
      </c>
      <c r="H136" s="62">
        <v>-33452.069910204089</v>
      </c>
      <c r="I136" s="62">
        <v>-34151.590367346951</v>
      </c>
      <c r="J136" s="62">
        <v>-35200.871053061244</v>
      </c>
      <c r="K136" s="62">
        <v>-24842.113586353942</v>
      </c>
      <c r="L136" s="62">
        <v>-21005.191675906186</v>
      </c>
      <c r="M136" s="62">
        <v>-20182.994123667369</v>
      </c>
      <c r="P136" s="4" t="s">
        <v>31</v>
      </c>
      <c r="Q136" s="4">
        <v>4753.0847931769695</v>
      </c>
      <c r="R136" s="4">
        <v>3280.5988230277298</v>
      </c>
      <c r="S136" s="4">
        <v>2102.6100469083294</v>
      </c>
      <c r="T136" s="4">
        <v>3059.1654312924893</v>
      </c>
      <c r="U136" s="4">
        <v>-4081.6903401360555</v>
      </c>
      <c r="V136" s="4">
        <v>-6712.5319401360366</v>
      </c>
      <c r="W136" s="4">
        <v>-8967.5390258503485</v>
      </c>
      <c r="X136" s="4">
        <v>-9719.2080544217752</v>
      </c>
      <c r="Y136" s="4">
        <v>-10846.711597278931</v>
      </c>
      <c r="Z136" s="4">
        <v>-5554.3169978678006</v>
      </c>
      <c r="AA136" s="4">
        <v>-1431.3562814498973</v>
      </c>
      <c r="AB136" s="4">
        <v>-547.86469936033518</v>
      </c>
    </row>
    <row r="137" spans="1:28" x14ac:dyDescent="0.25">
      <c r="A137" s="4" t="s">
        <v>32</v>
      </c>
      <c r="B137" s="62">
        <v>-13546.964889795925</v>
      </c>
      <c r="C137" s="62">
        <v>-14858.56574693877</v>
      </c>
      <c r="D137" s="62">
        <v>-15120.88591836735</v>
      </c>
      <c r="E137" s="62">
        <v>-18251.261462469749</v>
      </c>
      <c r="F137" s="62">
        <v>-23230.898615012116</v>
      </c>
      <c r="G137" s="62">
        <v>-24787.035225181615</v>
      </c>
      <c r="H137" s="62">
        <v>-27588.081123486711</v>
      </c>
      <c r="I137" s="62">
        <v>-28210.53576755448</v>
      </c>
      <c r="J137" s="62">
        <v>-28832.990411622304</v>
      </c>
      <c r="K137" s="62">
        <v>-22990.491061224504</v>
      </c>
      <c r="L137" s="62">
        <v>-19318.008661224485</v>
      </c>
      <c r="M137" s="62">
        <v>-17481.767461224499</v>
      </c>
      <c r="P137" s="4" t="s">
        <v>32</v>
      </c>
      <c r="Q137" s="4">
        <v>5676.884702040812</v>
      </c>
      <c r="R137" s="4">
        <v>4267.5052734693982</v>
      </c>
      <c r="S137" s="4">
        <v>3985.6293877551007</v>
      </c>
      <c r="T137" s="4">
        <v>4394.2838159806161</v>
      </c>
      <c r="U137" s="4">
        <v>-956.5804552058172</v>
      </c>
      <c r="V137" s="4">
        <v>-2628.7255399515902</v>
      </c>
      <c r="W137" s="4">
        <v>-5638.586692493971</v>
      </c>
      <c r="X137" s="4">
        <v>-6307.4447263922493</v>
      </c>
      <c r="Y137" s="4">
        <v>-6976.3027602905795</v>
      </c>
      <c r="Z137" s="4">
        <v>-4470.647183673479</v>
      </c>
      <c r="AA137" s="4">
        <v>-524.38478367346374</v>
      </c>
      <c r="AB137" s="4">
        <v>1448.7464163265226</v>
      </c>
    </row>
    <row r="138" spans="1:28" x14ac:dyDescent="0.25">
      <c r="A138" s="4" t="s">
        <v>33</v>
      </c>
      <c r="B138" s="62">
        <v>-13022.324546938784</v>
      </c>
      <c r="C138" s="62">
        <v>-13546.964889795925</v>
      </c>
      <c r="D138" s="62">
        <v>-14071.605232653066</v>
      </c>
      <c r="E138" s="62">
        <v>-18251.261462469749</v>
      </c>
      <c r="F138" s="62">
        <v>-22608.443970944321</v>
      </c>
      <c r="G138" s="62">
        <v>-24475.807903147706</v>
      </c>
      <c r="H138" s="62">
        <v>-26965.626479418886</v>
      </c>
      <c r="I138" s="62">
        <v>-27276.853801452799</v>
      </c>
      <c r="J138" s="62">
        <v>-28521.763089588392</v>
      </c>
      <c r="K138" s="62">
        <v>-22203.530546938779</v>
      </c>
      <c r="L138" s="62">
        <v>-18793.368318367346</v>
      </c>
      <c r="M138" s="62">
        <v>-16694.806946938796</v>
      </c>
      <c r="P138" s="4" t="s">
        <v>33</v>
      </c>
      <c r="Q138" s="4">
        <v>6240.6364734693834</v>
      </c>
      <c r="R138" s="4">
        <v>5676.884702040812</v>
      </c>
      <c r="S138" s="4">
        <v>5113.1329306122425</v>
      </c>
      <c r="T138" s="4">
        <v>4394.2838159806161</v>
      </c>
      <c r="U138" s="4">
        <v>-287.72242130751278</v>
      </c>
      <c r="V138" s="4">
        <v>-2294.2965230024251</v>
      </c>
      <c r="W138" s="4">
        <v>-4969.7286585956417</v>
      </c>
      <c r="X138" s="4">
        <v>-5304.1576755448059</v>
      </c>
      <c r="Y138" s="4">
        <v>-6641.8737433414144</v>
      </c>
      <c r="Z138" s="4">
        <v>-3625.0195265306129</v>
      </c>
      <c r="AA138" s="4">
        <v>39.366987755107147</v>
      </c>
      <c r="AB138" s="4">
        <v>2294.3740734693674</v>
      </c>
    </row>
    <row r="139" spans="1:28" x14ac:dyDescent="0.25">
      <c r="A139" s="4" t="s">
        <v>34</v>
      </c>
      <c r="B139" s="62">
        <v>-12235.364032653057</v>
      </c>
      <c r="C139" s="62">
        <v>-12760.004375510201</v>
      </c>
      <c r="D139" s="62">
        <v>-13022.324546938784</v>
      </c>
      <c r="E139" s="62">
        <v>-17628.806818401928</v>
      </c>
      <c r="F139" s="62">
        <v>-21674.762004842614</v>
      </c>
      <c r="G139" s="62">
        <v>-24164.580581113798</v>
      </c>
      <c r="H139" s="62">
        <v>-26343.171835351091</v>
      </c>
      <c r="I139" s="62">
        <v>-26654.399157384978</v>
      </c>
      <c r="J139" s="62">
        <v>-27899.308445520568</v>
      </c>
      <c r="K139" s="62">
        <v>-20891.929689795936</v>
      </c>
      <c r="L139" s="62">
        <v>-18006.407804081642</v>
      </c>
      <c r="M139" s="62">
        <v>-16170.166604081634</v>
      </c>
      <c r="P139" s="4" t="s">
        <v>34</v>
      </c>
      <c r="Q139" s="4">
        <v>7086.2641306122514</v>
      </c>
      <c r="R139" s="4">
        <v>6522.51235918368</v>
      </c>
      <c r="S139" s="4">
        <v>6240.6364734693834</v>
      </c>
      <c r="T139" s="4">
        <v>5063.1418498789462</v>
      </c>
      <c r="U139" s="4">
        <v>715.56462953995617</v>
      </c>
      <c r="V139" s="4">
        <v>-1959.8675060532601</v>
      </c>
      <c r="W139" s="4">
        <v>-4300.870624697337</v>
      </c>
      <c r="X139" s="4">
        <v>-4635.2996416464766</v>
      </c>
      <c r="Y139" s="4">
        <v>-5973.0157094430842</v>
      </c>
      <c r="Z139" s="4">
        <v>-2215.6400979591976</v>
      </c>
      <c r="AA139" s="4">
        <v>884.99464489795173</v>
      </c>
      <c r="AB139" s="4">
        <v>2858.1258448979602</v>
      </c>
    </row>
    <row r="140" spans="1:28" x14ac:dyDescent="0.25">
      <c r="A140" s="4" t="s">
        <v>35</v>
      </c>
      <c r="B140" s="62">
        <v>-11186.083346938794</v>
      </c>
      <c r="C140" s="62">
        <v>-11973.043861224498</v>
      </c>
      <c r="D140" s="62">
        <v>-11973.043861224498</v>
      </c>
      <c r="E140" s="62">
        <v>-16695.124852300247</v>
      </c>
      <c r="F140" s="62">
        <v>-20741.080038740933</v>
      </c>
      <c r="G140" s="62">
        <v>-23853.353259079911</v>
      </c>
      <c r="H140" s="62">
        <v>-26031.944513317208</v>
      </c>
      <c r="I140" s="62">
        <v>-26031.944513317208</v>
      </c>
      <c r="J140" s="62">
        <v>-27276.853801452799</v>
      </c>
      <c r="K140" s="62">
        <v>-19842.64900408165</v>
      </c>
      <c r="L140" s="62">
        <v>-16957.127118367338</v>
      </c>
      <c r="M140" s="62">
        <v>-15383.206089795933</v>
      </c>
      <c r="P140" s="4" t="s">
        <v>35</v>
      </c>
      <c r="Q140" s="4">
        <v>8213.7676734693687</v>
      </c>
      <c r="R140" s="4">
        <v>7368.1400163265253</v>
      </c>
      <c r="S140" s="4">
        <v>7368.1400163265253</v>
      </c>
      <c r="T140" s="4">
        <v>6066.4289007263897</v>
      </c>
      <c r="U140" s="4">
        <v>1718.8516803873997</v>
      </c>
      <c r="V140" s="4">
        <v>-1625.4384891041209</v>
      </c>
      <c r="W140" s="4">
        <v>-3966.4416077481978</v>
      </c>
      <c r="X140" s="4">
        <v>-3966.4416077481978</v>
      </c>
      <c r="Y140" s="4">
        <v>-5304.1576755448059</v>
      </c>
      <c r="Z140" s="4">
        <v>-1088.136555102056</v>
      </c>
      <c r="AA140" s="4">
        <v>2012.4981877551156</v>
      </c>
      <c r="AB140" s="4">
        <v>3703.753502040805</v>
      </c>
    </row>
    <row r="141" spans="1:28" x14ac:dyDescent="0.25">
      <c r="A141" s="4" t="s">
        <v>36</v>
      </c>
      <c r="B141" s="62">
        <v>7585.2164163265224</v>
      </c>
      <c r="C141" s="62">
        <v>7585.2164163265224</v>
      </c>
      <c r="D141" s="62">
        <v>7322.8962448979428</v>
      </c>
      <c r="E141" s="62">
        <v>5887.1360871670659</v>
      </c>
      <c r="F141" s="62">
        <v>1841.1809007264064</v>
      </c>
      <c r="G141" s="62">
        <v>-1271.0923196125959</v>
      </c>
      <c r="H141" s="62">
        <v>-3449.6835738498685</v>
      </c>
      <c r="I141" s="62">
        <v>-3760.9108958837787</v>
      </c>
      <c r="J141" s="62">
        <v>-5005.8201840193706</v>
      </c>
      <c r="K141" s="62">
        <v>-546.70889795918879</v>
      </c>
      <c r="L141" s="62">
        <v>2076.4928163265217</v>
      </c>
      <c r="M141" s="62">
        <v>3912.7340163265285</v>
      </c>
      <c r="P141" s="4" t="s">
        <v>36</v>
      </c>
      <c r="Q141" s="4">
        <v>8495.6435591836671</v>
      </c>
      <c r="R141" s="4">
        <v>8495.6435591836671</v>
      </c>
      <c r="S141" s="4">
        <v>8213.7676734693687</v>
      </c>
      <c r="T141" s="4">
        <v>6735.2869346246925</v>
      </c>
      <c r="U141" s="4">
        <v>2387.7097142857306</v>
      </c>
      <c r="V141" s="4">
        <v>-956.5804552058172</v>
      </c>
      <c r="W141" s="4">
        <v>-3297.5835738498677</v>
      </c>
      <c r="X141" s="4">
        <v>-3632.0125907990328</v>
      </c>
      <c r="Y141" s="4">
        <v>-4969.7286585956417</v>
      </c>
      <c r="Z141" s="4">
        <v>-242.50889795918934</v>
      </c>
      <c r="AA141" s="4">
        <v>2576.2499591836631</v>
      </c>
      <c r="AB141" s="4">
        <v>4549.381159183672</v>
      </c>
    </row>
    <row r="144" spans="1:28" x14ac:dyDescent="0.25">
      <c r="A144" s="4" t="s">
        <v>99</v>
      </c>
      <c r="B144" s="4"/>
      <c r="C144" s="4"/>
      <c r="D144" s="4"/>
      <c r="E144" s="4"/>
      <c r="F144" s="4"/>
      <c r="G144" s="4"/>
      <c r="H144" s="4"/>
      <c r="I144" s="4"/>
      <c r="J144" s="4"/>
      <c r="K144" s="4"/>
      <c r="L144" s="4"/>
      <c r="M144" s="4"/>
      <c r="P144" s="4" t="s">
        <v>99</v>
      </c>
      <c r="Q144" s="4"/>
      <c r="R144" s="4"/>
      <c r="S144" s="4"/>
      <c r="T144" s="4"/>
      <c r="U144" s="4"/>
      <c r="V144" s="4"/>
      <c r="W144" s="4"/>
      <c r="X144" s="4"/>
      <c r="Y144" s="4"/>
      <c r="Z144" s="4"/>
      <c r="AA144" s="4"/>
      <c r="AB144" s="4"/>
    </row>
    <row r="145" spans="1:28" x14ac:dyDescent="0.25">
      <c r="A145" s="4"/>
      <c r="B145" s="4" t="s">
        <v>1</v>
      </c>
      <c r="C145" s="4" t="s">
        <v>2</v>
      </c>
      <c r="D145" s="4" t="s">
        <v>3</v>
      </c>
      <c r="E145" s="4" t="s">
        <v>4</v>
      </c>
      <c r="F145" s="4" t="s">
        <v>5</v>
      </c>
      <c r="G145" s="4" t="s">
        <v>6</v>
      </c>
      <c r="H145" s="4" t="s">
        <v>7</v>
      </c>
      <c r="I145" s="4" t="s">
        <v>8</v>
      </c>
      <c r="J145" s="4" t="s">
        <v>9</v>
      </c>
      <c r="K145" s="4" t="s">
        <v>10</v>
      </c>
      <c r="L145" s="4" t="s">
        <v>11</v>
      </c>
      <c r="M145" s="4" t="s">
        <v>12</v>
      </c>
      <c r="P145" s="4"/>
      <c r="Q145" s="4" t="s">
        <v>1</v>
      </c>
      <c r="R145" s="4" t="s">
        <v>2</v>
      </c>
      <c r="S145" s="4" t="s">
        <v>3</v>
      </c>
      <c r="T145" s="4" t="s">
        <v>4</v>
      </c>
      <c r="U145" s="4" t="s">
        <v>5</v>
      </c>
      <c r="V145" s="4" t="s">
        <v>6</v>
      </c>
      <c r="W145" s="4" t="s">
        <v>7</v>
      </c>
      <c r="X145" s="4" t="s">
        <v>8</v>
      </c>
      <c r="Y145" s="4" t="s">
        <v>9</v>
      </c>
      <c r="Z145" s="4" t="s">
        <v>10</v>
      </c>
      <c r="AA145" s="4" t="s">
        <v>11</v>
      </c>
      <c r="AB145" s="4" t="s">
        <v>12</v>
      </c>
    </row>
    <row r="146" spans="1:28" x14ac:dyDescent="0.25">
      <c r="A146" s="4" t="s">
        <v>13</v>
      </c>
      <c r="B146" s="4">
        <v>0</v>
      </c>
      <c r="C146" s="4">
        <v>0</v>
      </c>
      <c r="D146" s="4">
        <v>0</v>
      </c>
      <c r="E146" s="4">
        <v>0</v>
      </c>
      <c r="F146" s="4">
        <v>0</v>
      </c>
      <c r="G146" s="4">
        <v>0</v>
      </c>
      <c r="H146" s="4">
        <v>0</v>
      </c>
      <c r="I146" s="4">
        <v>0</v>
      </c>
      <c r="J146" s="4">
        <v>0</v>
      </c>
      <c r="K146" s="4">
        <v>0</v>
      </c>
      <c r="L146" s="4">
        <v>0</v>
      </c>
      <c r="M146" s="4">
        <v>0</v>
      </c>
      <c r="P146" s="4" t="s">
        <v>13</v>
      </c>
      <c r="Q146" s="4">
        <v>0</v>
      </c>
      <c r="R146" s="4">
        <v>0</v>
      </c>
      <c r="S146" s="4">
        <v>0</v>
      </c>
      <c r="T146" s="4">
        <v>0</v>
      </c>
      <c r="U146" s="4">
        <v>0</v>
      </c>
      <c r="V146" s="4">
        <v>0</v>
      </c>
      <c r="W146" s="4">
        <v>0</v>
      </c>
      <c r="X146" s="4">
        <v>0</v>
      </c>
      <c r="Y146" s="4">
        <v>0</v>
      </c>
      <c r="Z146" s="4">
        <v>0</v>
      </c>
      <c r="AA146" s="4">
        <v>0</v>
      </c>
      <c r="AB146" s="4">
        <v>0</v>
      </c>
    </row>
    <row r="147" spans="1:28" x14ac:dyDescent="0.25">
      <c r="A147" s="4" t="s">
        <v>14</v>
      </c>
      <c r="B147" s="4">
        <v>0</v>
      </c>
      <c r="C147" s="4">
        <v>0</v>
      </c>
      <c r="D147" s="4">
        <v>0</v>
      </c>
      <c r="E147" s="4">
        <v>0</v>
      </c>
      <c r="F147" s="4">
        <v>0</v>
      </c>
      <c r="G147" s="4">
        <v>0</v>
      </c>
      <c r="H147" s="4">
        <v>0</v>
      </c>
      <c r="I147" s="4">
        <v>0</v>
      </c>
      <c r="J147" s="4">
        <v>0</v>
      </c>
      <c r="K147" s="4">
        <v>0</v>
      </c>
      <c r="L147" s="4">
        <v>0</v>
      </c>
      <c r="M147" s="4">
        <v>0</v>
      </c>
      <c r="P147" s="4" t="s">
        <v>14</v>
      </c>
      <c r="Q147" s="4">
        <v>0</v>
      </c>
      <c r="R147" s="4">
        <v>0</v>
      </c>
      <c r="S147" s="4">
        <v>0</v>
      </c>
      <c r="T147" s="4">
        <v>0</v>
      </c>
      <c r="U147" s="4">
        <v>0</v>
      </c>
      <c r="V147" s="4">
        <v>0</v>
      </c>
      <c r="W147" s="4">
        <v>0</v>
      </c>
      <c r="X147" s="4">
        <v>0</v>
      </c>
      <c r="Y147" s="4">
        <v>0</v>
      </c>
      <c r="Z147" s="4">
        <v>0</v>
      </c>
      <c r="AA147" s="4">
        <v>0</v>
      </c>
      <c r="AB147" s="4">
        <v>0</v>
      </c>
    </row>
    <row r="148" spans="1:28" x14ac:dyDescent="0.25">
      <c r="A148" s="4" t="s">
        <v>15</v>
      </c>
      <c r="B148" s="4">
        <v>0</v>
      </c>
      <c r="C148" s="4">
        <v>0</v>
      </c>
      <c r="D148" s="4">
        <v>0</v>
      </c>
      <c r="E148" s="4">
        <v>0</v>
      </c>
      <c r="F148" s="4">
        <v>0</v>
      </c>
      <c r="G148" s="4">
        <v>0</v>
      </c>
      <c r="H148" s="4">
        <v>0</v>
      </c>
      <c r="I148" s="4">
        <v>0</v>
      </c>
      <c r="J148" s="4">
        <v>0</v>
      </c>
      <c r="K148" s="4">
        <v>0</v>
      </c>
      <c r="L148" s="4">
        <v>0</v>
      </c>
      <c r="M148" s="4">
        <v>0</v>
      </c>
      <c r="P148" s="4" t="s">
        <v>15</v>
      </c>
      <c r="Q148" s="4">
        <v>0</v>
      </c>
      <c r="R148" s="4">
        <v>0</v>
      </c>
      <c r="S148" s="4">
        <v>0</v>
      </c>
      <c r="T148" s="4">
        <v>0</v>
      </c>
      <c r="U148" s="4">
        <v>0</v>
      </c>
      <c r="V148" s="4">
        <v>0</v>
      </c>
      <c r="W148" s="4">
        <v>0</v>
      </c>
      <c r="X148" s="4">
        <v>0</v>
      </c>
      <c r="Y148" s="4">
        <v>0</v>
      </c>
      <c r="Z148" s="4">
        <v>0</v>
      </c>
      <c r="AA148" s="4">
        <v>0</v>
      </c>
      <c r="AB148" s="4">
        <v>0</v>
      </c>
    </row>
    <row r="149" spans="1:28" x14ac:dyDescent="0.25">
      <c r="A149" s="4" t="s">
        <v>16</v>
      </c>
      <c r="B149" s="4">
        <v>0</v>
      </c>
      <c r="C149" s="4">
        <v>0</v>
      </c>
      <c r="D149" s="4">
        <v>0</v>
      </c>
      <c r="E149" s="4">
        <v>0</v>
      </c>
      <c r="F149" s="4">
        <v>0</v>
      </c>
      <c r="G149" s="4">
        <v>0</v>
      </c>
      <c r="H149" s="4">
        <v>0</v>
      </c>
      <c r="I149" s="4">
        <v>0</v>
      </c>
      <c r="J149" s="4">
        <v>0</v>
      </c>
      <c r="K149" s="4">
        <v>0</v>
      </c>
      <c r="L149" s="4">
        <v>0</v>
      </c>
      <c r="M149" s="4">
        <v>0</v>
      </c>
      <c r="P149" s="4" t="s">
        <v>16</v>
      </c>
      <c r="Q149" s="4">
        <v>0</v>
      </c>
      <c r="R149" s="4">
        <v>0</v>
      </c>
      <c r="S149" s="4">
        <v>0</v>
      </c>
      <c r="T149" s="4">
        <v>0</v>
      </c>
      <c r="U149" s="4">
        <v>0</v>
      </c>
      <c r="V149" s="4">
        <v>0</v>
      </c>
      <c r="W149" s="4">
        <v>0</v>
      </c>
      <c r="X149" s="4">
        <v>0</v>
      </c>
      <c r="Y149" s="4">
        <v>0</v>
      </c>
      <c r="Z149" s="4">
        <v>0</v>
      </c>
      <c r="AA149" s="4">
        <v>0</v>
      </c>
      <c r="AB149" s="4">
        <v>0</v>
      </c>
    </row>
    <row r="150" spans="1:28" x14ac:dyDescent="0.25">
      <c r="A150" s="4" t="s">
        <v>17</v>
      </c>
      <c r="B150" s="4">
        <v>0</v>
      </c>
      <c r="C150" s="4">
        <v>0</v>
      </c>
      <c r="D150" s="4">
        <v>0</v>
      </c>
      <c r="E150" s="4">
        <v>0</v>
      </c>
      <c r="F150" s="4">
        <v>0</v>
      </c>
      <c r="G150" s="4">
        <v>0</v>
      </c>
      <c r="H150" s="4">
        <v>0</v>
      </c>
      <c r="I150" s="4">
        <v>0</v>
      </c>
      <c r="J150" s="4">
        <v>0</v>
      </c>
      <c r="K150" s="4">
        <v>0</v>
      </c>
      <c r="L150" s="4">
        <v>0</v>
      </c>
      <c r="M150" s="4">
        <v>0</v>
      </c>
      <c r="P150" s="4" t="s">
        <v>17</v>
      </c>
      <c r="Q150" s="4">
        <v>0</v>
      </c>
      <c r="R150" s="4">
        <v>0</v>
      </c>
      <c r="S150" s="4">
        <v>0</v>
      </c>
      <c r="T150" s="4">
        <v>0</v>
      </c>
      <c r="U150" s="4">
        <v>0</v>
      </c>
      <c r="V150" s="4">
        <v>0</v>
      </c>
      <c r="W150" s="4">
        <v>0</v>
      </c>
      <c r="X150" s="4">
        <v>0</v>
      </c>
      <c r="Y150" s="4">
        <v>0</v>
      </c>
      <c r="Z150" s="4">
        <v>0</v>
      </c>
      <c r="AA150" s="4">
        <v>0</v>
      </c>
      <c r="AB150" s="4">
        <v>0</v>
      </c>
    </row>
    <row r="151" spans="1:28" x14ac:dyDescent="0.25">
      <c r="A151" s="4" t="s">
        <v>18</v>
      </c>
      <c r="B151" s="4">
        <v>0</v>
      </c>
      <c r="C151" s="4">
        <v>0</v>
      </c>
      <c r="D151" s="4">
        <v>0</v>
      </c>
      <c r="E151" s="4">
        <v>0</v>
      </c>
      <c r="F151" s="4">
        <v>0</v>
      </c>
      <c r="G151" s="4">
        <v>0</v>
      </c>
      <c r="H151" s="4">
        <v>0</v>
      </c>
      <c r="I151" s="4">
        <v>0</v>
      </c>
      <c r="J151" s="4">
        <v>0</v>
      </c>
      <c r="K151" s="4">
        <v>0</v>
      </c>
      <c r="L151" s="4">
        <v>0</v>
      </c>
      <c r="M151" s="4">
        <v>0</v>
      </c>
      <c r="P151" s="4" t="s">
        <v>18</v>
      </c>
      <c r="Q151" s="4">
        <v>0</v>
      </c>
      <c r="R151" s="4">
        <v>0</v>
      </c>
      <c r="S151" s="4">
        <v>0</v>
      </c>
      <c r="T151" s="4">
        <v>0</v>
      </c>
      <c r="U151" s="4">
        <v>0</v>
      </c>
      <c r="V151" s="4">
        <v>0</v>
      </c>
      <c r="W151" s="4">
        <v>0</v>
      </c>
      <c r="X151" s="4">
        <v>0</v>
      </c>
      <c r="Y151" s="4">
        <v>0</v>
      </c>
      <c r="Z151" s="4">
        <v>0</v>
      </c>
      <c r="AA151" s="4">
        <v>0</v>
      </c>
      <c r="AB151" s="4">
        <v>0</v>
      </c>
    </row>
    <row r="152" spans="1:28" x14ac:dyDescent="0.25">
      <c r="A152" s="4" t="s">
        <v>19</v>
      </c>
      <c r="B152" s="4">
        <v>0</v>
      </c>
      <c r="C152" s="4">
        <v>0</v>
      </c>
      <c r="D152" s="4">
        <v>0</v>
      </c>
      <c r="E152" s="4">
        <v>919.4389672896217</v>
      </c>
      <c r="F152" s="4">
        <v>3976.1479721375263</v>
      </c>
      <c r="G152" s="4">
        <v>5533.5540603633899</v>
      </c>
      <c r="H152" s="4">
        <v>3949.5242375495282</v>
      </c>
      <c r="I152" s="4">
        <v>883.97507826172421</v>
      </c>
      <c r="J152" s="4">
        <v>0</v>
      </c>
      <c r="K152" s="4">
        <v>0</v>
      </c>
      <c r="L152" s="4">
        <v>0</v>
      </c>
      <c r="M152" s="4">
        <v>0</v>
      </c>
      <c r="P152" s="4" t="s">
        <v>19</v>
      </c>
      <c r="Q152" s="4">
        <v>0</v>
      </c>
      <c r="R152" s="4">
        <v>0</v>
      </c>
      <c r="S152" s="4">
        <v>0</v>
      </c>
      <c r="T152" s="4">
        <v>908.6220382626849</v>
      </c>
      <c r="U152" s="4">
        <v>3929.3697607006143</v>
      </c>
      <c r="V152" s="4">
        <v>5468.4534243591143</v>
      </c>
      <c r="W152" s="4">
        <v>3903.0592465195341</v>
      </c>
      <c r="X152" s="4">
        <v>873.57537145864501</v>
      </c>
      <c r="Y152" s="4">
        <v>0</v>
      </c>
      <c r="Z152" s="4">
        <v>0</v>
      </c>
      <c r="AA152" s="4">
        <v>0</v>
      </c>
      <c r="AB152" s="4">
        <v>0</v>
      </c>
    </row>
    <row r="153" spans="1:28" x14ac:dyDescent="0.25">
      <c r="A153" s="4" t="s">
        <v>20</v>
      </c>
      <c r="B153" s="4">
        <v>665.91771859573396</v>
      </c>
      <c r="C153" s="4">
        <v>1286.5112782430965</v>
      </c>
      <c r="D153" s="4">
        <v>1933.286995483129</v>
      </c>
      <c r="E153" s="4">
        <v>4415.1163769168661</v>
      </c>
      <c r="F153" s="4">
        <v>8852.6293596208197</v>
      </c>
      <c r="G153" s="4">
        <v>10802.580749447454</v>
      </c>
      <c r="H153" s="4">
        <v>9030.7290072257911</v>
      </c>
      <c r="I153" s="4">
        <v>4729.0836136290345</v>
      </c>
      <c r="J153" s="4">
        <v>2045.2155094615657</v>
      </c>
      <c r="K153" s="4">
        <v>1338.5354180121215</v>
      </c>
      <c r="L153" s="4">
        <v>674.09348411142253</v>
      </c>
      <c r="M153" s="4">
        <v>401.27505179574234</v>
      </c>
      <c r="P153" s="4" t="s">
        <v>20</v>
      </c>
      <c r="Q153" s="4">
        <v>658.08339249460766</v>
      </c>
      <c r="R153" s="4">
        <v>1271.3758514402364</v>
      </c>
      <c r="S153" s="4">
        <v>1910.5424425950921</v>
      </c>
      <c r="T153" s="4">
        <v>4363.1738313060796</v>
      </c>
      <c r="U153" s="4">
        <v>8748.4807789193983</v>
      </c>
      <c r="V153" s="4">
        <v>10675.491564159836</v>
      </c>
      <c r="W153" s="4">
        <v>8924.4851365525465</v>
      </c>
      <c r="X153" s="4">
        <v>4673.4473358216346</v>
      </c>
      <c r="Y153" s="4">
        <v>2021.1541505267237</v>
      </c>
      <c r="Z153" s="4">
        <v>1322.7879425060967</v>
      </c>
      <c r="AA153" s="4">
        <v>666.1629725336411</v>
      </c>
      <c r="AB153" s="4">
        <v>396.55416883343952</v>
      </c>
    </row>
    <row r="154" spans="1:28" x14ac:dyDescent="0.25">
      <c r="A154" s="4" t="s">
        <v>21</v>
      </c>
      <c r="B154" s="4">
        <v>2427.3200314854621</v>
      </c>
      <c r="C154" s="4">
        <v>2940.9273397468096</v>
      </c>
      <c r="D154" s="4">
        <v>3529.8797731789418</v>
      </c>
      <c r="E154" s="4">
        <v>4334.1024192928626</v>
      </c>
      <c r="F154" s="4">
        <v>8620.5641572279656</v>
      </c>
      <c r="G154" s="4">
        <v>10758.669758566133</v>
      </c>
      <c r="H154" s="4">
        <v>8974.3969026771556</v>
      </c>
      <c r="I154" s="4">
        <v>4808.9914014614324</v>
      </c>
      <c r="J154" s="4">
        <v>3738.1971123506673</v>
      </c>
      <c r="K154" s="4">
        <v>3075.3243157097359</v>
      </c>
      <c r="L154" s="4">
        <v>2474.8063896415356</v>
      </c>
      <c r="M154" s="4">
        <v>2192.439829384135</v>
      </c>
      <c r="P154" s="4" t="s">
        <v>21</v>
      </c>
      <c r="Q154" s="4">
        <v>2398.7633252326918</v>
      </c>
      <c r="R154" s="4">
        <v>2906.3281945733179</v>
      </c>
      <c r="S154" s="4">
        <v>3488.351775847425</v>
      </c>
      <c r="T154" s="4">
        <v>4283.112979065887</v>
      </c>
      <c r="U154" s="4">
        <v>8519.1457553782238</v>
      </c>
      <c r="V154" s="4">
        <v>10632.097173171238</v>
      </c>
      <c r="W154" s="4">
        <v>8868.8157626456596</v>
      </c>
      <c r="X154" s="4">
        <v>4752.4150320324743</v>
      </c>
      <c r="Y154" s="4">
        <v>3694.2183227936007</v>
      </c>
      <c r="Z154" s="4">
        <v>3039.1440296425626</v>
      </c>
      <c r="AA154" s="4">
        <v>2445.6910203516354</v>
      </c>
      <c r="AB154" s="4">
        <v>2166.6464196266747</v>
      </c>
    </row>
    <row r="155" spans="1:28" x14ac:dyDescent="0.25">
      <c r="A155" s="4" t="s">
        <v>22</v>
      </c>
      <c r="B155" s="4">
        <v>3642.3376352661057</v>
      </c>
      <c r="C155" s="4">
        <v>4154.9481137005469</v>
      </c>
      <c r="D155" s="4">
        <v>4735.9515073847488</v>
      </c>
      <c r="E155" s="4">
        <v>5354.0311117157416</v>
      </c>
      <c r="F155" s="4">
        <v>7691.9355747792069</v>
      </c>
      <c r="G155" s="4">
        <v>9747.6114235601071</v>
      </c>
      <c r="H155" s="4">
        <v>8107.3382692957475</v>
      </c>
      <c r="I155" s="4">
        <v>5670.4504499960722</v>
      </c>
      <c r="J155" s="4">
        <v>4970.0835499708837</v>
      </c>
      <c r="K155" s="4">
        <v>4313.0247723432494</v>
      </c>
      <c r="L155" s="4">
        <v>3702.8682581091011</v>
      </c>
      <c r="M155" s="4">
        <v>3402.0797276843455</v>
      </c>
      <c r="P155" s="4" t="s">
        <v>22</v>
      </c>
      <c r="Q155" s="4">
        <v>3599.4866042629751</v>
      </c>
      <c r="R155" s="4">
        <v>4106.0663711864236</v>
      </c>
      <c r="S155" s="4">
        <v>4680.2344308272804</v>
      </c>
      <c r="T155" s="4">
        <v>5291.0425104014394</v>
      </c>
      <c r="U155" s="4">
        <v>7601.4422150759219</v>
      </c>
      <c r="V155" s="4">
        <v>9632.9336421064581</v>
      </c>
      <c r="W155" s="4">
        <v>8011.9578190687389</v>
      </c>
      <c r="X155" s="4">
        <v>5603.7392682314121</v>
      </c>
      <c r="Y155" s="4">
        <v>4911.6119787947555</v>
      </c>
      <c r="Z155" s="4">
        <v>4262.2833044333292</v>
      </c>
      <c r="AA155" s="4">
        <v>3659.3051021313468</v>
      </c>
      <c r="AB155" s="4">
        <v>3362.0552602998241</v>
      </c>
    </row>
    <row r="156" spans="1:28" x14ac:dyDescent="0.25">
      <c r="A156" s="4" t="s">
        <v>23</v>
      </c>
      <c r="B156" s="4">
        <v>4516.01369791253</v>
      </c>
      <c r="C156" s="4">
        <v>5042.5124637080417</v>
      </c>
      <c r="D156" s="4">
        <v>5621.4261686582768</v>
      </c>
      <c r="E156" s="4">
        <v>6208.3471864744497</v>
      </c>
      <c r="F156" s="4">
        <v>7102.5619673571064</v>
      </c>
      <c r="G156" s="4">
        <v>8888.3304591235519</v>
      </c>
      <c r="H156" s="4">
        <v>7496.2073148264626</v>
      </c>
      <c r="I156" s="4">
        <v>6533.685390577115</v>
      </c>
      <c r="J156" s="4">
        <v>5859.7424082124971</v>
      </c>
      <c r="K156" s="4">
        <v>5206.4048209686453</v>
      </c>
      <c r="L156" s="4">
        <v>4580.4760784986993</v>
      </c>
      <c r="M156" s="4">
        <v>4264.3019983059703</v>
      </c>
      <c r="P156" s="4" t="s">
        <v>23</v>
      </c>
      <c r="Q156" s="4">
        <v>4462.8841249959123</v>
      </c>
      <c r="R156" s="4">
        <v>4983.1887876644178</v>
      </c>
      <c r="S156" s="4">
        <v>5555.2917431446494</v>
      </c>
      <c r="T156" s="4">
        <v>6135.3078078100443</v>
      </c>
      <c r="U156" s="4">
        <v>7019.0024147999638</v>
      </c>
      <c r="V156" s="4">
        <v>8783.7618654868056</v>
      </c>
      <c r="W156" s="4">
        <v>7408.0166405343871</v>
      </c>
      <c r="X156" s="4">
        <v>6456.8185036291488</v>
      </c>
      <c r="Y156" s="4">
        <v>5790.8042622335261</v>
      </c>
      <c r="Z156" s="4">
        <v>5145.1529995454848</v>
      </c>
      <c r="AA156" s="4">
        <v>4526.5881246340086</v>
      </c>
      <c r="AB156" s="4">
        <v>4214.1337395023702</v>
      </c>
    </row>
    <row r="157" spans="1:28" x14ac:dyDescent="0.25">
      <c r="A157" s="4" t="s">
        <v>24</v>
      </c>
      <c r="B157" s="4">
        <v>5052.0733101834494</v>
      </c>
      <c r="C157" s="4">
        <v>5590.027032721453</v>
      </c>
      <c r="D157" s="4">
        <v>6167.9831369358881</v>
      </c>
      <c r="E157" s="4">
        <v>6733.3901170206491</v>
      </c>
      <c r="F157" s="4">
        <v>7123.3890508557179</v>
      </c>
      <c r="G157" s="4">
        <v>8424.6139333131778</v>
      </c>
      <c r="H157" s="4">
        <v>7335.3992940881326</v>
      </c>
      <c r="I157" s="4">
        <v>7060.403832101164</v>
      </c>
      <c r="J157" s="4">
        <v>6404.8270912554153</v>
      </c>
      <c r="K157" s="4">
        <v>5754.4671769178003</v>
      </c>
      <c r="L157" s="4">
        <v>5117.5229921578748</v>
      </c>
      <c r="M157" s="4">
        <v>4791.842298956868</v>
      </c>
      <c r="P157" s="4" t="s">
        <v>24</v>
      </c>
      <c r="Q157" s="4">
        <v>4992.6371535930557</v>
      </c>
      <c r="R157" s="4">
        <v>5524.2620088070835</v>
      </c>
      <c r="S157" s="4">
        <v>6095.4186294425253</v>
      </c>
      <c r="T157" s="4">
        <v>6654.1737627027587</v>
      </c>
      <c r="U157" s="4">
        <v>7039.5844737868274</v>
      </c>
      <c r="V157" s="4">
        <v>8325.5008282153758</v>
      </c>
      <c r="W157" s="4">
        <v>7249.1004788635664</v>
      </c>
      <c r="X157" s="4">
        <v>6977.3402576058561</v>
      </c>
      <c r="Y157" s="4">
        <v>6329.4761842994685</v>
      </c>
      <c r="Z157" s="4">
        <v>5686.7675630717085</v>
      </c>
      <c r="AA157" s="4">
        <v>5057.3168393089591</v>
      </c>
      <c r="AB157" s="4">
        <v>4735.4676836750223</v>
      </c>
    </row>
    <row r="158" spans="1:28" x14ac:dyDescent="0.25">
      <c r="A158" s="4" t="s">
        <v>25</v>
      </c>
      <c r="B158" s="4">
        <v>5233.293717894192</v>
      </c>
      <c r="C158" s="4">
        <v>5775.457105277289</v>
      </c>
      <c r="D158" s="4">
        <v>6353.0957912100239</v>
      </c>
      <c r="E158" s="4">
        <v>6910.8692908491885</v>
      </c>
      <c r="F158" s="4">
        <v>7292.8702981290653</v>
      </c>
      <c r="G158" s="4">
        <v>8293.7472966959285</v>
      </c>
      <c r="H158" s="4">
        <v>7459.8479185187662</v>
      </c>
      <c r="I158" s="4">
        <v>7237.9174612543848</v>
      </c>
      <c r="J158" s="4">
        <v>6588.8959417017813</v>
      </c>
      <c r="K158" s="4">
        <v>5939.6824051266904</v>
      </c>
      <c r="L158" s="4">
        <v>5298.8915952374491</v>
      </c>
      <c r="M158" s="4">
        <v>4970.0127732619203</v>
      </c>
      <c r="P158" s="4" t="s">
        <v>25</v>
      </c>
      <c r="Q158" s="4">
        <v>5171.725556507201</v>
      </c>
      <c r="R158" s="4">
        <v>5707.5105510975563</v>
      </c>
      <c r="S158" s="4">
        <v>6278.3534877840229</v>
      </c>
      <c r="T158" s="4">
        <v>6829.5649462509627</v>
      </c>
      <c r="U158" s="4">
        <v>7207.071824033429</v>
      </c>
      <c r="V158" s="4">
        <v>8196.1737990877409</v>
      </c>
      <c r="W158" s="4">
        <v>7372.0850018303099</v>
      </c>
      <c r="X158" s="4">
        <v>7152.7654911219797</v>
      </c>
      <c r="Y158" s="4">
        <v>6511.3795188582308</v>
      </c>
      <c r="Z158" s="4">
        <v>5869.8037885957883</v>
      </c>
      <c r="AA158" s="4">
        <v>5236.551694117009</v>
      </c>
      <c r="AB158" s="4">
        <v>4911.5420347529571</v>
      </c>
    </row>
    <row r="159" spans="1:28" x14ac:dyDescent="0.25">
      <c r="A159" s="4" t="s">
        <v>26</v>
      </c>
      <c r="B159" s="4">
        <v>5052.0733101834494</v>
      </c>
      <c r="C159" s="4">
        <v>5590.027032721453</v>
      </c>
      <c r="D159" s="4">
        <v>6167.9831369358881</v>
      </c>
      <c r="E159" s="4">
        <v>6733.3901170206491</v>
      </c>
      <c r="F159" s="4">
        <v>7123.3890508557179</v>
      </c>
      <c r="G159" s="4">
        <v>8424.6139333131778</v>
      </c>
      <c r="H159" s="4">
        <v>7335.3992940881326</v>
      </c>
      <c r="I159" s="4">
        <v>7060.403832101164</v>
      </c>
      <c r="J159" s="4">
        <v>6404.8270912554153</v>
      </c>
      <c r="K159" s="4">
        <v>5754.4671769178003</v>
      </c>
      <c r="L159" s="4">
        <v>5117.5229921578748</v>
      </c>
      <c r="M159" s="4">
        <v>4791.842298956868</v>
      </c>
      <c r="P159" s="4" t="s">
        <v>26</v>
      </c>
      <c r="Q159" s="4">
        <v>4992.6371535930557</v>
      </c>
      <c r="R159" s="4">
        <v>5524.2620088070835</v>
      </c>
      <c r="S159" s="4">
        <v>6095.4186294425253</v>
      </c>
      <c r="T159" s="4">
        <v>6654.1737627027587</v>
      </c>
      <c r="U159" s="4">
        <v>7039.5844737868274</v>
      </c>
      <c r="V159" s="4">
        <v>8325.5008282153758</v>
      </c>
      <c r="W159" s="4">
        <v>7249.1004788635664</v>
      </c>
      <c r="X159" s="4">
        <v>6977.3402576058561</v>
      </c>
      <c r="Y159" s="4">
        <v>6329.4761842994685</v>
      </c>
      <c r="Z159" s="4">
        <v>5686.7675630717085</v>
      </c>
      <c r="AA159" s="4">
        <v>5057.3168393089591</v>
      </c>
      <c r="AB159" s="4">
        <v>4735.4676836750223</v>
      </c>
    </row>
    <row r="160" spans="1:28" x14ac:dyDescent="0.25">
      <c r="A160" s="4" t="s">
        <v>27</v>
      </c>
      <c r="B160" s="4">
        <v>4516.01369791253</v>
      </c>
      <c r="C160" s="4">
        <v>5042.5124637080417</v>
      </c>
      <c r="D160" s="4">
        <v>5621.4261686582768</v>
      </c>
      <c r="E160" s="4">
        <v>6208.3471864744497</v>
      </c>
      <c r="F160" s="4">
        <v>7102.5619673571064</v>
      </c>
      <c r="G160" s="4">
        <v>8888.3304591235519</v>
      </c>
      <c r="H160" s="4">
        <v>7496.207314826469</v>
      </c>
      <c r="I160" s="4">
        <v>6533.685390577115</v>
      </c>
      <c r="J160" s="4">
        <v>5859.7424082124971</v>
      </c>
      <c r="K160" s="4">
        <v>5206.4048209686453</v>
      </c>
      <c r="L160" s="4">
        <v>4580.4760784986993</v>
      </c>
      <c r="M160" s="4">
        <v>4264.3019983059703</v>
      </c>
      <c r="P160" s="4" t="s">
        <v>27</v>
      </c>
      <c r="Q160" s="4">
        <v>4462.8841249959123</v>
      </c>
      <c r="R160" s="4">
        <v>4983.1887876644178</v>
      </c>
      <c r="S160" s="4">
        <v>5555.2917431446494</v>
      </c>
      <c r="T160" s="4">
        <v>6135.3078078100443</v>
      </c>
      <c r="U160" s="4">
        <v>7019.0024147999638</v>
      </c>
      <c r="V160" s="4">
        <v>8783.7618654868056</v>
      </c>
      <c r="W160" s="4">
        <v>7408.0166405343934</v>
      </c>
      <c r="X160" s="4">
        <v>6456.8185036291488</v>
      </c>
      <c r="Y160" s="4">
        <v>5790.8042622335261</v>
      </c>
      <c r="Z160" s="4">
        <v>5145.1529995454848</v>
      </c>
      <c r="AA160" s="4">
        <v>4526.5881246340086</v>
      </c>
      <c r="AB160" s="4">
        <v>4214.1337395023702</v>
      </c>
    </row>
    <row r="161" spans="1:28" x14ac:dyDescent="0.25">
      <c r="A161" s="4" t="s">
        <v>28</v>
      </c>
      <c r="B161" s="4">
        <v>3642.3376352661057</v>
      </c>
      <c r="C161" s="4">
        <v>4154.9481137005469</v>
      </c>
      <c r="D161" s="4">
        <v>4735.9515073847488</v>
      </c>
      <c r="E161" s="4">
        <v>5354.0311117157416</v>
      </c>
      <c r="F161" s="4">
        <v>7691.9355747792069</v>
      </c>
      <c r="G161" s="4">
        <v>9747.6114235601071</v>
      </c>
      <c r="H161" s="4">
        <v>8107.3382692957421</v>
      </c>
      <c r="I161" s="4">
        <v>5670.4504499960722</v>
      </c>
      <c r="J161" s="4">
        <v>4970.0835499708837</v>
      </c>
      <c r="K161" s="4">
        <v>4313.0247723432494</v>
      </c>
      <c r="L161" s="4">
        <v>3702.8682581091011</v>
      </c>
      <c r="M161" s="4">
        <v>3402.0797276843455</v>
      </c>
      <c r="P161" s="4" t="s">
        <v>28</v>
      </c>
      <c r="Q161" s="4">
        <v>3599.4866042629751</v>
      </c>
      <c r="R161" s="4">
        <v>4106.0663711864236</v>
      </c>
      <c r="S161" s="4">
        <v>4680.2344308272804</v>
      </c>
      <c r="T161" s="4">
        <v>5291.0425104014394</v>
      </c>
      <c r="U161" s="4">
        <v>7601.4422150759219</v>
      </c>
      <c r="V161" s="4">
        <v>9632.9336421064581</v>
      </c>
      <c r="W161" s="4">
        <v>8011.9578190687334</v>
      </c>
      <c r="X161" s="4">
        <v>5603.7392682314121</v>
      </c>
      <c r="Y161" s="4">
        <v>4911.6119787947555</v>
      </c>
      <c r="Z161" s="4">
        <v>4262.2833044333292</v>
      </c>
      <c r="AA161" s="4">
        <v>3659.3051021313468</v>
      </c>
      <c r="AB161" s="4">
        <v>3362.0552602998241</v>
      </c>
    </row>
    <row r="162" spans="1:28" x14ac:dyDescent="0.25">
      <c r="A162" s="4" t="s">
        <v>29</v>
      </c>
      <c r="B162" s="4">
        <v>2427.3200314854621</v>
      </c>
      <c r="C162" s="4">
        <v>2940.9273397468096</v>
      </c>
      <c r="D162" s="4">
        <v>3529.8797731789418</v>
      </c>
      <c r="E162" s="4">
        <v>4334.1024192928626</v>
      </c>
      <c r="F162" s="4">
        <v>8620.5641572279492</v>
      </c>
      <c r="G162" s="4">
        <v>10758.669758566124</v>
      </c>
      <c r="H162" s="4">
        <v>8974.3969026771556</v>
      </c>
      <c r="I162" s="4">
        <v>4808.9914014614369</v>
      </c>
      <c r="J162" s="4">
        <v>3738.1971123506673</v>
      </c>
      <c r="K162" s="4">
        <v>3075.3243157097359</v>
      </c>
      <c r="L162" s="4">
        <v>2474.8063896415356</v>
      </c>
      <c r="M162" s="4">
        <v>2192.439829384135</v>
      </c>
      <c r="P162" s="4" t="s">
        <v>29</v>
      </c>
      <c r="Q162" s="4">
        <v>2398.7633252326918</v>
      </c>
      <c r="R162" s="4">
        <v>2906.3281945733179</v>
      </c>
      <c r="S162" s="4">
        <v>3488.351775847425</v>
      </c>
      <c r="T162" s="4">
        <v>4283.112979065887</v>
      </c>
      <c r="U162" s="4">
        <v>8519.1457553782075</v>
      </c>
      <c r="V162" s="4">
        <v>10632.097173171229</v>
      </c>
      <c r="W162" s="4">
        <v>8868.8157626456596</v>
      </c>
      <c r="X162" s="4">
        <v>4752.4150320324788</v>
      </c>
      <c r="Y162" s="4">
        <v>3694.2183227936007</v>
      </c>
      <c r="Z162" s="4">
        <v>3039.1440296425626</v>
      </c>
      <c r="AA162" s="4">
        <v>2445.6910203516354</v>
      </c>
      <c r="AB162" s="4">
        <v>2166.6464196266747</v>
      </c>
    </row>
    <row r="163" spans="1:28" x14ac:dyDescent="0.25">
      <c r="A163" s="4" t="s">
        <v>30</v>
      </c>
      <c r="B163" s="4">
        <v>665.91771859573396</v>
      </c>
      <c r="C163" s="4">
        <v>1286.5112782430965</v>
      </c>
      <c r="D163" s="4">
        <v>1933.286995483129</v>
      </c>
      <c r="E163" s="4">
        <v>4415.116376916877</v>
      </c>
      <c r="F163" s="4">
        <v>8852.6293596208125</v>
      </c>
      <c r="G163" s="4">
        <v>10802.58074944747</v>
      </c>
      <c r="H163" s="4">
        <v>9030.7290072257911</v>
      </c>
      <c r="I163" s="4">
        <v>4729.0836136290436</v>
      </c>
      <c r="J163" s="4">
        <v>2045.2155094615657</v>
      </c>
      <c r="K163" s="4">
        <v>1338.5354180121215</v>
      </c>
      <c r="L163" s="4">
        <v>674.09348411142253</v>
      </c>
      <c r="M163" s="4">
        <v>401.27505179574234</v>
      </c>
      <c r="P163" s="4" t="s">
        <v>30</v>
      </c>
      <c r="Q163" s="4">
        <v>658.08339249460766</v>
      </c>
      <c r="R163" s="4">
        <v>1271.3758514402364</v>
      </c>
      <c r="S163" s="4">
        <v>1910.5424425950921</v>
      </c>
      <c r="T163" s="4">
        <v>4363.1738313060905</v>
      </c>
      <c r="U163" s="4">
        <v>8748.480778919391</v>
      </c>
      <c r="V163" s="4">
        <v>10675.491564159853</v>
      </c>
      <c r="W163" s="4">
        <v>8924.4851365525465</v>
      </c>
      <c r="X163" s="4">
        <v>4673.4473358216428</v>
      </c>
      <c r="Y163" s="4">
        <v>2021.1541505267237</v>
      </c>
      <c r="Z163" s="4">
        <v>1322.7879425060967</v>
      </c>
      <c r="AA163" s="4">
        <v>666.1629725336411</v>
      </c>
      <c r="AB163" s="4">
        <v>396.55416883343952</v>
      </c>
    </row>
    <row r="164" spans="1:28" x14ac:dyDescent="0.25">
      <c r="A164" s="4" t="s">
        <v>31</v>
      </c>
      <c r="B164" s="4">
        <v>0</v>
      </c>
      <c r="C164" s="4">
        <v>0</v>
      </c>
      <c r="D164" s="4">
        <v>0</v>
      </c>
      <c r="E164" s="4">
        <v>919.43896728961874</v>
      </c>
      <c r="F164" s="4">
        <v>3976.1479721375208</v>
      </c>
      <c r="G164" s="4">
        <v>5533.5540603633972</v>
      </c>
      <c r="H164" s="4">
        <v>3949.5242375495245</v>
      </c>
      <c r="I164" s="4">
        <v>883.97507826172239</v>
      </c>
      <c r="J164" s="4">
        <v>0</v>
      </c>
      <c r="K164" s="4">
        <v>0</v>
      </c>
      <c r="L164" s="4">
        <v>0</v>
      </c>
      <c r="M164" s="4">
        <v>0</v>
      </c>
      <c r="P164" s="4" t="s">
        <v>31</v>
      </c>
      <c r="Q164" s="4">
        <v>0</v>
      </c>
      <c r="R164" s="4">
        <v>0</v>
      </c>
      <c r="S164" s="4">
        <v>0</v>
      </c>
      <c r="T164" s="4">
        <v>908.62203826268205</v>
      </c>
      <c r="U164" s="4">
        <v>3929.3697607006088</v>
      </c>
      <c r="V164" s="4">
        <v>5468.4534243591215</v>
      </c>
      <c r="W164" s="4">
        <v>3903.0592465195305</v>
      </c>
      <c r="X164" s="4">
        <v>873.5753714586433</v>
      </c>
      <c r="Y164" s="4">
        <v>0</v>
      </c>
      <c r="Z164" s="4">
        <v>0</v>
      </c>
      <c r="AA164" s="4">
        <v>0</v>
      </c>
      <c r="AB164" s="4">
        <v>0</v>
      </c>
    </row>
    <row r="165" spans="1:28" x14ac:dyDescent="0.25">
      <c r="A165" s="4" t="s">
        <v>32</v>
      </c>
      <c r="B165" s="4">
        <v>0</v>
      </c>
      <c r="C165" s="4">
        <v>0</v>
      </c>
      <c r="D165" s="4">
        <v>0</v>
      </c>
      <c r="E165" s="4">
        <v>0</v>
      </c>
      <c r="F165" s="4">
        <v>0</v>
      </c>
      <c r="G165" s="4">
        <v>0</v>
      </c>
      <c r="H165" s="4">
        <v>0</v>
      </c>
      <c r="I165" s="4">
        <v>0</v>
      </c>
      <c r="J165" s="4">
        <v>0</v>
      </c>
      <c r="K165" s="4">
        <v>0</v>
      </c>
      <c r="L165" s="4">
        <v>0</v>
      </c>
      <c r="M165" s="4">
        <v>0</v>
      </c>
      <c r="P165" s="4" t="s">
        <v>32</v>
      </c>
      <c r="Q165" s="4">
        <v>0</v>
      </c>
      <c r="R165" s="4">
        <v>0</v>
      </c>
      <c r="S165" s="4">
        <v>0</v>
      </c>
      <c r="T165" s="4">
        <v>0</v>
      </c>
      <c r="U165" s="4">
        <v>0</v>
      </c>
      <c r="V165" s="4">
        <v>0</v>
      </c>
      <c r="W165" s="4">
        <v>0</v>
      </c>
      <c r="X165" s="4">
        <v>0</v>
      </c>
      <c r="Y165" s="4">
        <v>0</v>
      </c>
      <c r="Z165" s="4">
        <v>0</v>
      </c>
      <c r="AA165" s="4">
        <v>0</v>
      </c>
      <c r="AB165" s="4">
        <v>0</v>
      </c>
    </row>
    <row r="166" spans="1:28" x14ac:dyDescent="0.25">
      <c r="A166" s="4" t="s">
        <v>33</v>
      </c>
      <c r="B166" s="4">
        <v>0</v>
      </c>
      <c r="C166" s="4">
        <v>0</v>
      </c>
      <c r="D166" s="4">
        <v>0</v>
      </c>
      <c r="E166" s="4">
        <v>0</v>
      </c>
      <c r="F166" s="4">
        <v>0</v>
      </c>
      <c r="G166" s="4">
        <v>0</v>
      </c>
      <c r="H166" s="4">
        <v>0</v>
      </c>
      <c r="I166" s="4">
        <v>0</v>
      </c>
      <c r="J166" s="4">
        <v>0</v>
      </c>
      <c r="K166" s="4">
        <v>0</v>
      </c>
      <c r="L166" s="4">
        <v>0</v>
      </c>
      <c r="M166" s="4">
        <v>0</v>
      </c>
      <c r="P166" s="4" t="s">
        <v>33</v>
      </c>
      <c r="Q166" s="4">
        <v>0</v>
      </c>
      <c r="R166" s="4">
        <v>0</v>
      </c>
      <c r="S166" s="4">
        <v>0</v>
      </c>
      <c r="T166" s="4">
        <v>0</v>
      </c>
      <c r="U166" s="4">
        <v>0</v>
      </c>
      <c r="V166" s="4">
        <v>0</v>
      </c>
      <c r="W166" s="4">
        <v>0</v>
      </c>
      <c r="X166" s="4">
        <v>0</v>
      </c>
      <c r="Y166" s="4">
        <v>0</v>
      </c>
      <c r="Z166" s="4">
        <v>0</v>
      </c>
      <c r="AA166" s="4">
        <v>0</v>
      </c>
      <c r="AB166" s="4">
        <v>0</v>
      </c>
    </row>
    <row r="167" spans="1:28" x14ac:dyDescent="0.25">
      <c r="A167" s="4" t="s">
        <v>34</v>
      </c>
      <c r="B167" s="4">
        <v>0</v>
      </c>
      <c r="C167" s="4">
        <v>0</v>
      </c>
      <c r="D167" s="4">
        <v>0</v>
      </c>
      <c r="E167" s="4">
        <v>0</v>
      </c>
      <c r="F167" s="4">
        <v>0</v>
      </c>
      <c r="G167" s="4">
        <v>0</v>
      </c>
      <c r="H167" s="4">
        <v>0</v>
      </c>
      <c r="I167" s="4">
        <v>0</v>
      </c>
      <c r="J167" s="4">
        <v>0</v>
      </c>
      <c r="K167" s="4">
        <v>0</v>
      </c>
      <c r="L167" s="4">
        <v>0</v>
      </c>
      <c r="M167" s="4">
        <v>0</v>
      </c>
      <c r="P167" s="4" t="s">
        <v>34</v>
      </c>
      <c r="Q167" s="4">
        <v>0</v>
      </c>
      <c r="R167" s="4">
        <v>0</v>
      </c>
      <c r="S167" s="4">
        <v>0</v>
      </c>
      <c r="T167" s="4">
        <v>0</v>
      </c>
      <c r="U167" s="4">
        <v>0</v>
      </c>
      <c r="V167" s="4">
        <v>0</v>
      </c>
      <c r="W167" s="4">
        <v>0</v>
      </c>
      <c r="X167" s="4">
        <v>0</v>
      </c>
      <c r="Y167" s="4">
        <v>0</v>
      </c>
      <c r="Z167" s="4">
        <v>0</v>
      </c>
      <c r="AA167" s="4">
        <v>0</v>
      </c>
      <c r="AB167" s="4">
        <v>0</v>
      </c>
    </row>
    <row r="168" spans="1:28" x14ac:dyDescent="0.25">
      <c r="A168" s="4" t="s">
        <v>35</v>
      </c>
      <c r="B168" s="4">
        <v>0</v>
      </c>
      <c r="C168" s="4">
        <v>0</v>
      </c>
      <c r="D168" s="4">
        <v>0</v>
      </c>
      <c r="E168" s="4">
        <v>0</v>
      </c>
      <c r="F168" s="4">
        <v>0</v>
      </c>
      <c r="G168" s="4">
        <v>0</v>
      </c>
      <c r="H168" s="4">
        <v>0</v>
      </c>
      <c r="I168" s="4">
        <v>0</v>
      </c>
      <c r="J168" s="4">
        <v>0</v>
      </c>
      <c r="K168" s="4">
        <v>0</v>
      </c>
      <c r="L168" s="4">
        <v>0</v>
      </c>
      <c r="M168" s="4">
        <v>0</v>
      </c>
      <c r="P168" s="4" t="s">
        <v>35</v>
      </c>
      <c r="Q168" s="4">
        <v>0</v>
      </c>
      <c r="R168" s="4">
        <v>0</v>
      </c>
      <c r="S168" s="4">
        <v>0</v>
      </c>
      <c r="T168" s="4">
        <v>0</v>
      </c>
      <c r="U168" s="4">
        <v>0</v>
      </c>
      <c r="V168" s="4">
        <v>0</v>
      </c>
      <c r="W168" s="4">
        <v>0</v>
      </c>
      <c r="X168" s="4">
        <v>0</v>
      </c>
      <c r="Y168" s="4">
        <v>0</v>
      </c>
      <c r="Z168" s="4">
        <v>0</v>
      </c>
      <c r="AA168" s="4">
        <v>0</v>
      </c>
      <c r="AB168" s="4">
        <v>0</v>
      </c>
    </row>
    <row r="169" spans="1:28" x14ac:dyDescent="0.25">
      <c r="A169" s="4" t="s">
        <v>36</v>
      </c>
      <c r="B169" s="4">
        <v>0</v>
      </c>
      <c r="C169" s="4">
        <v>0</v>
      </c>
      <c r="D169" s="4">
        <v>0</v>
      </c>
      <c r="E169" s="4">
        <v>0</v>
      </c>
      <c r="F169" s="4">
        <v>0</v>
      </c>
      <c r="G169" s="4">
        <v>0</v>
      </c>
      <c r="H169" s="4">
        <v>0</v>
      </c>
      <c r="I169" s="4">
        <v>0</v>
      </c>
      <c r="J169" s="4">
        <v>0</v>
      </c>
      <c r="K169" s="4">
        <v>0</v>
      </c>
      <c r="L169" s="4">
        <v>0</v>
      </c>
      <c r="M169" s="4">
        <v>0</v>
      </c>
      <c r="P169" s="4" t="s">
        <v>36</v>
      </c>
      <c r="Q169" s="4">
        <v>0</v>
      </c>
      <c r="R169" s="4">
        <v>0</v>
      </c>
      <c r="S169" s="4">
        <v>0</v>
      </c>
      <c r="T169" s="4">
        <v>0</v>
      </c>
      <c r="U169" s="4">
        <v>0</v>
      </c>
      <c r="V169" s="4">
        <v>0</v>
      </c>
      <c r="W169" s="4">
        <v>0</v>
      </c>
      <c r="X169" s="4">
        <v>0</v>
      </c>
      <c r="Y169" s="4">
        <v>0</v>
      </c>
      <c r="Z169" s="4">
        <v>0</v>
      </c>
      <c r="AA169" s="4">
        <v>0</v>
      </c>
      <c r="AB169" s="4">
        <v>0</v>
      </c>
    </row>
    <row r="172" spans="1:28" x14ac:dyDescent="0.25">
      <c r="A172" s="4" t="s">
        <v>102</v>
      </c>
      <c r="B172" s="4"/>
      <c r="C172" s="4"/>
      <c r="D172" s="4"/>
      <c r="E172" s="4"/>
      <c r="F172" s="4"/>
      <c r="G172" s="4"/>
      <c r="H172" s="4"/>
      <c r="I172" s="4"/>
      <c r="J172" s="4"/>
      <c r="K172" s="4"/>
      <c r="L172" s="4"/>
      <c r="M172" s="4"/>
      <c r="N172" s="4"/>
      <c r="O172" s="4"/>
      <c r="P172" s="4" t="s">
        <v>102</v>
      </c>
      <c r="Q172" s="4"/>
      <c r="R172" s="4"/>
      <c r="S172" s="4"/>
      <c r="T172" s="4"/>
      <c r="U172" s="4"/>
      <c r="V172" s="4"/>
      <c r="W172" s="4"/>
      <c r="X172" s="4"/>
      <c r="Y172" s="4"/>
      <c r="Z172" s="4"/>
      <c r="AA172" s="4"/>
      <c r="AB172" s="4"/>
    </row>
    <row r="173" spans="1:28" x14ac:dyDescent="0.25">
      <c r="A173" s="4"/>
      <c r="B173" s="4" t="s">
        <v>1</v>
      </c>
      <c r="C173" s="4" t="s">
        <v>2</v>
      </c>
      <c r="D173" s="4" t="s">
        <v>3</v>
      </c>
      <c r="E173" s="4" t="s">
        <v>4</v>
      </c>
      <c r="F173" s="4" t="s">
        <v>5</v>
      </c>
      <c r="G173" s="4" t="s">
        <v>6</v>
      </c>
      <c r="H173" s="4" t="s">
        <v>7</v>
      </c>
      <c r="I173" s="4" t="s">
        <v>8</v>
      </c>
      <c r="J173" s="4" t="s">
        <v>9</v>
      </c>
      <c r="K173" s="4" t="s">
        <v>10</v>
      </c>
      <c r="L173" s="4" t="s">
        <v>11</v>
      </c>
      <c r="M173" s="4" t="s">
        <v>12</v>
      </c>
      <c r="N173" s="4"/>
      <c r="O173" s="4"/>
      <c r="P173" s="4"/>
      <c r="Q173" s="4" t="s">
        <v>1</v>
      </c>
      <c r="R173" s="4" t="s">
        <v>2</v>
      </c>
      <c r="S173" s="4" t="s">
        <v>3</v>
      </c>
      <c r="T173" s="4" t="s">
        <v>4</v>
      </c>
      <c r="U173" s="4" t="s">
        <v>5</v>
      </c>
      <c r="V173" s="4" t="s">
        <v>6</v>
      </c>
      <c r="W173" s="4" t="s">
        <v>7</v>
      </c>
      <c r="X173" s="4" t="s">
        <v>8</v>
      </c>
      <c r="Y173" s="4" t="s">
        <v>9</v>
      </c>
      <c r="Z173" s="4" t="s">
        <v>10</v>
      </c>
      <c r="AA173" s="4" t="s">
        <v>11</v>
      </c>
      <c r="AB173" s="4" t="s">
        <v>12</v>
      </c>
    </row>
    <row r="174" spans="1:28" x14ac:dyDescent="0.25">
      <c r="A174" s="4" t="s">
        <v>13</v>
      </c>
      <c r="B174" s="4">
        <v>0</v>
      </c>
      <c r="C174" s="4">
        <v>0</v>
      </c>
      <c r="D174" s="4">
        <v>0</v>
      </c>
      <c r="E174" s="4">
        <v>0</v>
      </c>
      <c r="F174" s="4">
        <v>0</v>
      </c>
      <c r="G174" s="4">
        <v>0</v>
      </c>
      <c r="H174" s="4">
        <v>0</v>
      </c>
      <c r="I174" s="4">
        <v>0</v>
      </c>
      <c r="J174" s="4">
        <v>0</v>
      </c>
      <c r="K174" s="4">
        <v>0</v>
      </c>
      <c r="L174" s="4">
        <v>0</v>
      </c>
      <c r="M174" s="4">
        <v>0</v>
      </c>
      <c r="N174" s="4"/>
      <c r="O174" s="4"/>
      <c r="P174" s="4" t="s">
        <v>13</v>
      </c>
      <c r="Q174" s="4">
        <v>0</v>
      </c>
      <c r="R174" s="4">
        <v>0</v>
      </c>
      <c r="S174" s="4">
        <v>0</v>
      </c>
      <c r="T174" s="4">
        <v>0</v>
      </c>
      <c r="U174" s="4">
        <v>0</v>
      </c>
      <c r="V174" s="4">
        <v>0</v>
      </c>
      <c r="W174" s="4">
        <v>0</v>
      </c>
      <c r="X174" s="4">
        <v>0</v>
      </c>
      <c r="Y174" s="4">
        <v>0</v>
      </c>
      <c r="Z174" s="4">
        <v>0</v>
      </c>
      <c r="AA174" s="4">
        <v>0</v>
      </c>
      <c r="AB174" s="4">
        <v>0</v>
      </c>
    </row>
    <row r="175" spans="1:28" x14ac:dyDescent="0.25">
      <c r="A175" s="4" t="s">
        <v>14</v>
      </c>
      <c r="B175" s="4">
        <v>0</v>
      </c>
      <c r="C175" s="4">
        <v>0</v>
      </c>
      <c r="D175" s="4">
        <v>0</v>
      </c>
      <c r="E175" s="4">
        <v>0</v>
      </c>
      <c r="F175" s="4">
        <v>0</v>
      </c>
      <c r="G175" s="4">
        <v>0</v>
      </c>
      <c r="H175" s="4">
        <v>0</v>
      </c>
      <c r="I175" s="4">
        <v>0</v>
      </c>
      <c r="J175" s="4">
        <v>0</v>
      </c>
      <c r="K175" s="4">
        <v>0</v>
      </c>
      <c r="L175" s="4">
        <v>0</v>
      </c>
      <c r="M175" s="4">
        <v>0</v>
      </c>
      <c r="N175" s="4"/>
      <c r="O175" s="4"/>
      <c r="P175" s="4" t="s">
        <v>14</v>
      </c>
      <c r="Q175" s="4">
        <v>0</v>
      </c>
      <c r="R175" s="4">
        <v>0</v>
      </c>
      <c r="S175" s="4">
        <v>0</v>
      </c>
      <c r="T175" s="4">
        <v>0</v>
      </c>
      <c r="U175" s="4">
        <v>0</v>
      </c>
      <c r="V175" s="4">
        <v>0</v>
      </c>
      <c r="W175" s="4">
        <v>0</v>
      </c>
      <c r="X175" s="4">
        <v>0</v>
      </c>
      <c r="Y175" s="4">
        <v>0</v>
      </c>
      <c r="Z175" s="4">
        <v>0</v>
      </c>
      <c r="AA175" s="4">
        <v>0</v>
      </c>
      <c r="AB175" s="4">
        <v>0</v>
      </c>
    </row>
    <row r="176" spans="1:28" x14ac:dyDescent="0.25">
      <c r="A176" s="4" t="s">
        <v>15</v>
      </c>
      <c r="B176" s="4">
        <v>0</v>
      </c>
      <c r="C176" s="4">
        <v>0</v>
      </c>
      <c r="D176" s="4">
        <v>0</v>
      </c>
      <c r="E176" s="4">
        <v>0</v>
      </c>
      <c r="F176" s="4">
        <v>0</v>
      </c>
      <c r="G176" s="4">
        <v>0</v>
      </c>
      <c r="H176" s="4">
        <v>0</v>
      </c>
      <c r="I176" s="4">
        <v>0</v>
      </c>
      <c r="J176" s="4">
        <v>0</v>
      </c>
      <c r="K176" s="4">
        <v>0</v>
      </c>
      <c r="L176" s="4">
        <v>0</v>
      </c>
      <c r="M176" s="4">
        <v>0</v>
      </c>
      <c r="N176" s="4"/>
      <c r="O176" s="4"/>
      <c r="P176" s="4" t="s">
        <v>15</v>
      </c>
      <c r="Q176" s="4">
        <v>0</v>
      </c>
      <c r="R176" s="4">
        <v>0</v>
      </c>
      <c r="S176" s="4">
        <v>0</v>
      </c>
      <c r="T176" s="4">
        <v>0</v>
      </c>
      <c r="U176" s="4">
        <v>0</v>
      </c>
      <c r="V176" s="4">
        <v>0</v>
      </c>
      <c r="W176" s="4">
        <v>0</v>
      </c>
      <c r="X176" s="4">
        <v>0</v>
      </c>
      <c r="Y176" s="4">
        <v>0</v>
      </c>
      <c r="Z176" s="4">
        <v>0</v>
      </c>
      <c r="AA176" s="4">
        <v>0</v>
      </c>
      <c r="AB176" s="4">
        <v>0</v>
      </c>
    </row>
    <row r="177" spans="1:28" x14ac:dyDescent="0.25">
      <c r="A177" s="4" t="s">
        <v>16</v>
      </c>
      <c r="B177" s="4">
        <v>0</v>
      </c>
      <c r="C177" s="4">
        <v>0</v>
      </c>
      <c r="D177" s="4">
        <v>0</v>
      </c>
      <c r="E177" s="4">
        <v>0</v>
      </c>
      <c r="F177" s="4">
        <v>0</v>
      </c>
      <c r="G177" s="4">
        <v>0</v>
      </c>
      <c r="H177" s="4">
        <v>0</v>
      </c>
      <c r="I177" s="4">
        <v>0</v>
      </c>
      <c r="J177" s="4">
        <v>0</v>
      </c>
      <c r="K177" s="4">
        <v>0</v>
      </c>
      <c r="L177" s="4">
        <v>0</v>
      </c>
      <c r="M177" s="4">
        <v>0</v>
      </c>
      <c r="N177" s="4"/>
      <c r="O177" s="4"/>
      <c r="P177" s="4" t="s">
        <v>16</v>
      </c>
      <c r="Q177" s="4">
        <v>0</v>
      </c>
      <c r="R177" s="4">
        <v>0</v>
      </c>
      <c r="S177" s="4">
        <v>0</v>
      </c>
      <c r="T177" s="4">
        <v>0</v>
      </c>
      <c r="U177" s="4">
        <v>0</v>
      </c>
      <c r="V177" s="4">
        <v>0</v>
      </c>
      <c r="W177" s="4">
        <v>0</v>
      </c>
      <c r="X177" s="4">
        <v>0</v>
      </c>
      <c r="Y177" s="4">
        <v>0</v>
      </c>
      <c r="Z177" s="4">
        <v>0</v>
      </c>
      <c r="AA177" s="4">
        <v>0</v>
      </c>
      <c r="AB177" s="4">
        <v>0</v>
      </c>
    </row>
    <row r="178" spans="1:28" x14ac:dyDescent="0.25">
      <c r="A178" s="4" t="s">
        <v>17</v>
      </c>
      <c r="B178" s="4">
        <v>0</v>
      </c>
      <c r="C178" s="4">
        <v>0</v>
      </c>
      <c r="D178" s="4">
        <v>0</v>
      </c>
      <c r="E178" s="4">
        <v>0</v>
      </c>
      <c r="F178" s="4">
        <v>0</v>
      </c>
      <c r="G178" s="4">
        <v>0</v>
      </c>
      <c r="H178" s="4">
        <v>0</v>
      </c>
      <c r="I178" s="4">
        <v>0</v>
      </c>
      <c r="J178" s="4">
        <v>0</v>
      </c>
      <c r="K178" s="4">
        <v>0</v>
      </c>
      <c r="L178" s="4">
        <v>0</v>
      </c>
      <c r="M178" s="4">
        <v>0</v>
      </c>
      <c r="N178" s="4"/>
      <c r="O178" s="4"/>
      <c r="P178" s="4" t="s">
        <v>17</v>
      </c>
      <c r="Q178" s="4">
        <v>0</v>
      </c>
      <c r="R178" s="4">
        <v>0</v>
      </c>
      <c r="S178" s="4">
        <v>0</v>
      </c>
      <c r="T178" s="4">
        <v>0</v>
      </c>
      <c r="U178" s="4">
        <v>0</v>
      </c>
      <c r="V178" s="4">
        <v>0</v>
      </c>
      <c r="W178" s="4">
        <v>0</v>
      </c>
      <c r="X178" s="4">
        <v>0</v>
      </c>
      <c r="Y178" s="4">
        <v>0</v>
      </c>
      <c r="Z178" s="4">
        <v>0</v>
      </c>
      <c r="AA178" s="4">
        <v>0</v>
      </c>
      <c r="AB178" s="4">
        <v>0</v>
      </c>
    </row>
    <row r="179" spans="1:28" x14ac:dyDescent="0.25">
      <c r="A179" s="4" t="s">
        <v>18</v>
      </c>
      <c r="B179" s="4">
        <v>0</v>
      </c>
      <c r="C179" s="4">
        <v>0</v>
      </c>
      <c r="D179" s="4">
        <v>0</v>
      </c>
      <c r="E179" s="4">
        <v>0</v>
      </c>
      <c r="F179" s="4">
        <v>0</v>
      </c>
      <c r="G179" s="4">
        <v>0</v>
      </c>
      <c r="H179" s="4">
        <v>0</v>
      </c>
      <c r="I179" s="4">
        <v>0</v>
      </c>
      <c r="J179" s="4">
        <v>0</v>
      </c>
      <c r="K179" s="4">
        <v>0</v>
      </c>
      <c r="L179" s="4">
        <v>0</v>
      </c>
      <c r="M179" s="4">
        <v>0</v>
      </c>
      <c r="N179" s="4"/>
      <c r="O179" s="4"/>
      <c r="P179" s="4" t="s">
        <v>18</v>
      </c>
      <c r="Q179" s="4">
        <v>0</v>
      </c>
      <c r="R179" s="4">
        <v>0</v>
      </c>
      <c r="S179" s="4">
        <v>0</v>
      </c>
      <c r="T179" s="4">
        <v>0</v>
      </c>
      <c r="U179" s="4">
        <v>0</v>
      </c>
      <c r="V179" s="4">
        <v>0</v>
      </c>
      <c r="W179" s="4">
        <v>0</v>
      </c>
      <c r="X179" s="4">
        <v>0</v>
      </c>
      <c r="Y179" s="4">
        <v>0</v>
      </c>
      <c r="Z179" s="4">
        <v>0</v>
      </c>
      <c r="AA179" s="4">
        <v>0</v>
      </c>
      <c r="AB179" s="4">
        <v>0</v>
      </c>
    </row>
    <row r="180" spans="1:28" x14ac:dyDescent="0.25">
      <c r="A180" s="4" t="s">
        <v>19</v>
      </c>
      <c r="B180" s="4">
        <v>0</v>
      </c>
      <c r="C180" s="4">
        <v>0</v>
      </c>
      <c r="D180" s="4">
        <v>0</v>
      </c>
      <c r="E180" s="4">
        <v>0</v>
      </c>
      <c r="F180" s="4">
        <v>0</v>
      </c>
      <c r="G180" s="4">
        <v>0</v>
      </c>
      <c r="H180" s="4">
        <v>0</v>
      </c>
      <c r="I180" s="4">
        <v>0</v>
      </c>
      <c r="J180" s="4">
        <v>0</v>
      </c>
      <c r="K180" s="4">
        <v>0</v>
      </c>
      <c r="L180" s="4">
        <v>0</v>
      </c>
      <c r="M180" s="4">
        <v>0</v>
      </c>
      <c r="N180" s="4"/>
      <c r="O180" s="4"/>
      <c r="P180" s="4" t="s">
        <v>19</v>
      </c>
      <c r="Q180" s="4">
        <v>0</v>
      </c>
      <c r="R180" s="4">
        <v>0</v>
      </c>
      <c r="S180" s="4">
        <v>0</v>
      </c>
      <c r="T180" s="4">
        <v>0</v>
      </c>
      <c r="U180" s="4">
        <v>0</v>
      </c>
      <c r="V180" s="4">
        <v>0</v>
      </c>
      <c r="W180" s="4">
        <v>0</v>
      </c>
      <c r="X180" s="4">
        <v>0</v>
      </c>
      <c r="Y180" s="4">
        <v>0</v>
      </c>
      <c r="Z180" s="4">
        <v>0</v>
      </c>
      <c r="AA180" s="4">
        <v>0</v>
      </c>
      <c r="AB180" s="4">
        <v>0</v>
      </c>
    </row>
    <row r="181" spans="1:28" x14ac:dyDescent="0.25">
      <c r="A181" s="4" t="s">
        <v>20</v>
      </c>
      <c r="B181" s="4">
        <v>0</v>
      </c>
      <c r="C181" s="4">
        <v>0</v>
      </c>
      <c r="D181" s="4">
        <v>0</v>
      </c>
      <c r="E181" s="4">
        <v>0</v>
      </c>
      <c r="F181" s="4">
        <v>0</v>
      </c>
      <c r="G181" s="4">
        <v>0</v>
      </c>
      <c r="H181" s="4">
        <v>0</v>
      </c>
      <c r="I181" s="4">
        <v>0</v>
      </c>
      <c r="J181" s="4">
        <v>0</v>
      </c>
      <c r="K181" s="4">
        <v>0</v>
      </c>
      <c r="L181" s="4">
        <v>0</v>
      </c>
      <c r="M181" s="4">
        <v>0</v>
      </c>
      <c r="N181" s="4"/>
      <c r="O181" s="4"/>
      <c r="P181" s="4" t="s">
        <v>20</v>
      </c>
      <c r="Q181" s="4">
        <v>0</v>
      </c>
      <c r="R181" s="4">
        <v>0</v>
      </c>
      <c r="S181" s="4">
        <v>0</v>
      </c>
      <c r="T181" s="4">
        <v>0</v>
      </c>
      <c r="U181" s="4">
        <v>0</v>
      </c>
      <c r="V181" s="4">
        <v>0</v>
      </c>
      <c r="W181" s="4">
        <v>0</v>
      </c>
      <c r="X181" s="4">
        <v>0</v>
      </c>
      <c r="Y181" s="4">
        <v>0</v>
      </c>
      <c r="Z181" s="4">
        <v>0</v>
      </c>
      <c r="AA181" s="4">
        <v>0</v>
      </c>
      <c r="AB181" s="4">
        <v>0</v>
      </c>
    </row>
    <row r="182" spans="1:28" x14ac:dyDescent="0.25">
      <c r="A182" s="4" t="s">
        <v>21</v>
      </c>
      <c r="B182" s="4">
        <v>0</v>
      </c>
      <c r="C182" s="4">
        <v>0</v>
      </c>
      <c r="D182" s="4">
        <v>0</v>
      </c>
      <c r="E182" s="4">
        <v>0</v>
      </c>
      <c r="F182" s="4">
        <v>0</v>
      </c>
      <c r="G182" s="4">
        <v>0</v>
      </c>
      <c r="H182" s="4">
        <v>0</v>
      </c>
      <c r="I182" s="4">
        <v>0</v>
      </c>
      <c r="J182" s="4">
        <v>0</v>
      </c>
      <c r="K182" s="4">
        <v>0</v>
      </c>
      <c r="L182" s="4">
        <v>0</v>
      </c>
      <c r="M182" s="4">
        <v>0</v>
      </c>
      <c r="N182" s="4"/>
      <c r="O182" s="4"/>
      <c r="P182" s="4" t="s">
        <v>21</v>
      </c>
      <c r="Q182" s="4">
        <v>0</v>
      </c>
      <c r="R182" s="4">
        <v>0</v>
      </c>
      <c r="S182" s="4">
        <v>0</v>
      </c>
      <c r="T182" s="4">
        <v>0</v>
      </c>
      <c r="U182" s="4">
        <v>0</v>
      </c>
      <c r="V182" s="4">
        <v>0</v>
      </c>
      <c r="W182" s="4">
        <v>0</v>
      </c>
      <c r="X182" s="4">
        <v>0</v>
      </c>
      <c r="Y182" s="4">
        <v>0</v>
      </c>
      <c r="Z182" s="4">
        <v>0</v>
      </c>
      <c r="AA182" s="4">
        <v>0</v>
      </c>
      <c r="AB182" s="4">
        <v>0</v>
      </c>
    </row>
    <row r="183" spans="1:28" x14ac:dyDescent="0.25">
      <c r="A183" s="4" t="s">
        <v>22</v>
      </c>
      <c r="B183" s="4">
        <v>0</v>
      </c>
      <c r="C183" s="4">
        <v>0</v>
      </c>
      <c r="D183" s="4">
        <v>0</v>
      </c>
      <c r="E183" s="4">
        <v>0</v>
      </c>
      <c r="F183" s="4">
        <v>0</v>
      </c>
      <c r="G183" s="4">
        <v>0</v>
      </c>
      <c r="H183" s="4">
        <v>0</v>
      </c>
      <c r="I183" s="4">
        <v>0</v>
      </c>
      <c r="J183" s="4">
        <v>0</v>
      </c>
      <c r="K183" s="4">
        <v>0</v>
      </c>
      <c r="L183" s="4">
        <v>0</v>
      </c>
      <c r="M183" s="4">
        <v>0</v>
      </c>
      <c r="N183" s="4"/>
      <c r="O183" s="4"/>
      <c r="P183" s="4" t="s">
        <v>22</v>
      </c>
      <c r="Q183" s="4">
        <v>0</v>
      </c>
      <c r="R183" s="4">
        <v>0</v>
      </c>
      <c r="S183" s="4">
        <v>0</v>
      </c>
      <c r="T183" s="4">
        <v>0</v>
      </c>
      <c r="U183" s="4">
        <v>0</v>
      </c>
      <c r="V183" s="4">
        <v>0</v>
      </c>
      <c r="W183" s="4">
        <v>0</v>
      </c>
      <c r="X183" s="4">
        <v>0</v>
      </c>
      <c r="Y183" s="4">
        <v>0</v>
      </c>
      <c r="Z183" s="4">
        <v>0</v>
      </c>
      <c r="AA183" s="4">
        <v>0</v>
      </c>
      <c r="AB183" s="4">
        <v>0</v>
      </c>
    </row>
    <row r="184" spans="1:28" x14ac:dyDescent="0.25">
      <c r="A184" s="4" t="s">
        <v>23</v>
      </c>
      <c r="B184" s="4">
        <v>0</v>
      </c>
      <c r="C184" s="4">
        <v>0</v>
      </c>
      <c r="D184" s="4">
        <v>0</v>
      </c>
      <c r="E184" s="4">
        <v>0</v>
      </c>
      <c r="F184" s="4">
        <v>0</v>
      </c>
      <c r="G184" s="4">
        <v>0</v>
      </c>
      <c r="H184" s="4">
        <v>0</v>
      </c>
      <c r="I184" s="4">
        <v>0</v>
      </c>
      <c r="J184" s="4">
        <v>0</v>
      </c>
      <c r="K184" s="4">
        <v>0</v>
      </c>
      <c r="L184" s="4">
        <v>0</v>
      </c>
      <c r="M184" s="4">
        <v>0</v>
      </c>
      <c r="N184" s="4"/>
      <c r="O184" s="4"/>
      <c r="P184" s="4" t="s">
        <v>23</v>
      </c>
      <c r="Q184" s="4">
        <v>0</v>
      </c>
      <c r="R184" s="4">
        <v>0</v>
      </c>
      <c r="S184" s="4">
        <v>0</v>
      </c>
      <c r="T184" s="4">
        <v>0</v>
      </c>
      <c r="U184" s="4">
        <v>0</v>
      </c>
      <c r="V184" s="4">
        <v>0</v>
      </c>
      <c r="W184" s="4">
        <v>0</v>
      </c>
      <c r="X184" s="4">
        <v>0</v>
      </c>
      <c r="Y184" s="4">
        <v>0</v>
      </c>
      <c r="Z184" s="4">
        <v>0</v>
      </c>
      <c r="AA184" s="4">
        <v>0</v>
      </c>
      <c r="AB184" s="4">
        <v>0</v>
      </c>
    </row>
    <row r="185" spans="1:28" x14ac:dyDescent="0.25">
      <c r="A185" s="4" t="s">
        <v>24</v>
      </c>
      <c r="B185" s="4">
        <v>0</v>
      </c>
      <c r="C185" s="4">
        <v>0</v>
      </c>
      <c r="D185" s="4">
        <v>0</v>
      </c>
      <c r="E185" s="4">
        <v>0</v>
      </c>
      <c r="F185" s="4">
        <v>0</v>
      </c>
      <c r="G185" s="4">
        <v>0</v>
      </c>
      <c r="H185" s="4">
        <v>0</v>
      </c>
      <c r="I185" s="4">
        <v>0</v>
      </c>
      <c r="J185" s="4">
        <v>0</v>
      </c>
      <c r="K185" s="4">
        <v>0</v>
      </c>
      <c r="L185" s="4">
        <v>0</v>
      </c>
      <c r="M185" s="4">
        <v>0</v>
      </c>
      <c r="N185" s="4"/>
      <c r="O185" s="4"/>
      <c r="P185" s="4" t="s">
        <v>24</v>
      </c>
      <c r="Q185" s="4">
        <v>0</v>
      </c>
      <c r="R185" s="4">
        <v>0</v>
      </c>
      <c r="S185" s="4">
        <v>0</v>
      </c>
      <c r="T185" s="4">
        <v>0</v>
      </c>
      <c r="U185" s="4">
        <v>0</v>
      </c>
      <c r="V185" s="4">
        <v>0</v>
      </c>
      <c r="W185" s="4">
        <v>0</v>
      </c>
      <c r="X185" s="4">
        <v>0</v>
      </c>
      <c r="Y185" s="4">
        <v>0</v>
      </c>
      <c r="Z185" s="4">
        <v>0</v>
      </c>
      <c r="AA185" s="4">
        <v>0</v>
      </c>
      <c r="AB185" s="4">
        <v>0</v>
      </c>
    </row>
    <row r="186" spans="1:28" x14ac:dyDescent="0.25">
      <c r="A186" s="4" t="s">
        <v>25</v>
      </c>
      <c r="B186" s="4">
        <v>0</v>
      </c>
      <c r="C186" s="4">
        <v>0</v>
      </c>
      <c r="D186" s="4">
        <v>0</v>
      </c>
      <c r="E186" s="4">
        <v>0</v>
      </c>
      <c r="F186" s="4">
        <v>0</v>
      </c>
      <c r="G186" s="4">
        <v>0</v>
      </c>
      <c r="H186" s="4">
        <v>0</v>
      </c>
      <c r="I186" s="4">
        <v>0</v>
      </c>
      <c r="J186" s="4">
        <v>0</v>
      </c>
      <c r="K186" s="4">
        <v>0</v>
      </c>
      <c r="L186" s="4">
        <v>0</v>
      </c>
      <c r="M186" s="4">
        <v>0</v>
      </c>
      <c r="N186" s="4"/>
      <c r="O186" s="4"/>
      <c r="P186" s="4" t="s">
        <v>25</v>
      </c>
      <c r="Q186" s="4">
        <v>0</v>
      </c>
      <c r="R186" s="4">
        <v>0</v>
      </c>
      <c r="S186" s="4">
        <v>0</v>
      </c>
      <c r="T186" s="4">
        <v>0</v>
      </c>
      <c r="U186" s="4">
        <v>0</v>
      </c>
      <c r="V186" s="4">
        <v>0</v>
      </c>
      <c r="W186" s="4">
        <v>0</v>
      </c>
      <c r="X186" s="4">
        <v>0</v>
      </c>
      <c r="Y186" s="4">
        <v>0</v>
      </c>
      <c r="Z186" s="4">
        <v>0</v>
      </c>
      <c r="AA186" s="4">
        <v>0</v>
      </c>
      <c r="AB186" s="4">
        <v>0</v>
      </c>
    </row>
    <row r="187" spans="1:28" x14ac:dyDescent="0.25">
      <c r="A187" s="4" t="s">
        <v>26</v>
      </c>
      <c r="B187" s="4">
        <v>0</v>
      </c>
      <c r="C187" s="4">
        <v>0</v>
      </c>
      <c r="D187" s="4">
        <v>0</v>
      </c>
      <c r="E187" s="4">
        <v>0</v>
      </c>
      <c r="F187" s="4">
        <v>0</v>
      </c>
      <c r="G187" s="4">
        <v>0</v>
      </c>
      <c r="H187" s="4">
        <v>0</v>
      </c>
      <c r="I187" s="4">
        <v>0</v>
      </c>
      <c r="J187" s="4">
        <v>0</v>
      </c>
      <c r="K187" s="4">
        <v>0</v>
      </c>
      <c r="L187" s="4">
        <v>0</v>
      </c>
      <c r="M187" s="4">
        <v>0</v>
      </c>
      <c r="N187" s="4"/>
      <c r="O187" s="4"/>
      <c r="P187" s="4" t="s">
        <v>26</v>
      </c>
      <c r="Q187" s="4">
        <v>0</v>
      </c>
      <c r="R187" s="4">
        <v>0</v>
      </c>
      <c r="S187" s="4">
        <v>0</v>
      </c>
      <c r="T187" s="4">
        <v>0</v>
      </c>
      <c r="U187" s="4">
        <v>0</v>
      </c>
      <c r="V187" s="4">
        <v>0</v>
      </c>
      <c r="W187" s="4">
        <v>0</v>
      </c>
      <c r="X187" s="4">
        <v>0</v>
      </c>
      <c r="Y187" s="4">
        <v>0</v>
      </c>
      <c r="Z187" s="4">
        <v>0</v>
      </c>
      <c r="AA187" s="4">
        <v>0</v>
      </c>
      <c r="AB187" s="4">
        <v>0</v>
      </c>
    </row>
    <row r="188" spans="1:28" x14ac:dyDescent="0.25">
      <c r="A188" s="4" t="s">
        <v>27</v>
      </c>
      <c r="B188" s="4">
        <v>0</v>
      </c>
      <c r="C188" s="4">
        <v>0</v>
      </c>
      <c r="D188" s="4">
        <v>0</v>
      </c>
      <c r="E188" s="4">
        <v>0</v>
      </c>
      <c r="F188" s="4">
        <v>0</v>
      </c>
      <c r="G188" s="4">
        <v>0</v>
      </c>
      <c r="H188" s="4">
        <v>0</v>
      </c>
      <c r="I188" s="4">
        <v>0</v>
      </c>
      <c r="J188" s="4">
        <v>0</v>
      </c>
      <c r="K188" s="4">
        <v>0</v>
      </c>
      <c r="L188" s="4">
        <v>0</v>
      </c>
      <c r="M188" s="4">
        <v>0</v>
      </c>
      <c r="N188" s="4"/>
      <c r="O188" s="4"/>
      <c r="P188" s="4" t="s">
        <v>27</v>
      </c>
      <c r="Q188" s="4">
        <v>0</v>
      </c>
      <c r="R188" s="4">
        <v>0</v>
      </c>
      <c r="S188" s="4">
        <v>0</v>
      </c>
      <c r="T188" s="4">
        <v>0</v>
      </c>
      <c r="U188" s="4">
        <v>0</v>
      </c>
      <c r="V188" s="4">
        <v>0</v>
      </c>
      <c r="W188" s="4">
        <v>0</v>
      </c>
      <c r="X188" s="4">
        <v>0</v>
      </c>
      <c r="Y188" s="4">
        <v>0</v>
      </c>
      <c r="Z188" s="4">
        <v>0</v>
      </c>
      <c r="AA188" s="4">
        <v>0</v>
      </c>
      <c r="AB188" s="4">
        <v>0</v>
      </c>
    </row>
    <row r="189" spans="1:28" x14ac:dyDescent="0.25">
      <c r="A189" s="4" t="s">
        <v>28</v>
      </c>
      <c r="B189" s="4">
        <v>0</v>
      </c>
      <c r="C189" s="4">
        <v>0</v>
      </c>
      <c r="D189" s="4">
        <v>0</v>
      </c>
      <c r="E189" s="4">
        <v>0</v>
      </c>
      <c r="F189" s="4">
        <v>0</v>
      </c>
      <c r="G189" s="4">
        <v>0</v>
      </c>
      <c r="H189" s="4">
        <v>0</v>
      </c>
      <c r="I189" s="4">
        <v>0</v>
      </c>
      <c r="J189" s="4">
        <v>0</v>
      </c>
      <c r="K189" s="4">
        <v>0</v>
      </c>
      <c r="L189" s="4">
        <v>0</v>
      </c>
      <c r="M189" s="4">
        <v>0</v>
      </c>
      <c r="N189" s="4"/>
      <c r="O189" s="4"/>
      <c r="P189" s="4" t="s">
        <v>28</v>
      </c>
      <c r="Q189" s="4">
        <v>0</v>
      </c>
      <c r="R189" s="4">
        <v>0</v>
      </c>
      <c r="S189" s="4">
        <v>0</v>
      </c>
      <c r="T189" s="4">
        <v>0</v>
      </c>
      <c r="U189" s="4">
        <v>0</v>
      </c>
      <c r="V189" s="4">
        <v>0</v>
      </c>
      <c r="W189" s="4">
        <v>0</v>
      </c>
      <c r="X189" s="4">
        <v>0</v>
      </c>
      <c r="Y189" s="4">
        <v>0</v>
      </c>
      <c r="Z189" s="4">
        <v>0</v>
      </c>
      <c r="AA189" s="4">
        <v>0</v>
      </c>
      <c r="AB189" s="4">
        <v>0</v>
      </c>
    </row>
    <row r="190" spans="1:28" x14ac:dyDescent="0.25">
      <c r="A190" s="4" t="s">
        <v>29</v>
      </c>
      <c r="B190" s="4">
        <v>0</v>
      </c>
      <c r="C190" s="4">
        <v>0</v>
      </c>
      <c r="D190" s="4">
        <v>0</v>
      </c>
      <c r="E190" s="4">
        <v>0</v>
      </c>
      <c r="F190" s="4">
        <v>0</v>
      </c>
      <c r="G190" s="4">
        <v>0</v>
      </c>
      <c r="H190" s="4">
        <v>0</v>
      </c>
      <c r="I190" s="4">
        <v>0</v>
      </c>
      <c r="J190" s="4">
        <v>0</v>
      </c>
      <c r="K190" s="4">
        <v>0</v>
      </c>
      <c r="L190" s="4">
        <v>0</v>
      </c>
      <c r="M190" s="4">
        <v>0</v>
      </c>
      <c r="N190" s="4"/>
      <c r="O190" s="4"/>
      <c r="P190" s="4" t="s">
        <v>29</v>
      </c>
      <c r="Q190" s="4">
        <v>0</v>
      </c>
      <c r="R190" s="4">
        <v>0</v>
      </c>
      <c r="S190" s="4">
        <v>0</v>
      </c>
      <c r="T190" s="4">
        <v>0</v>
      </c>
      <c r="U190" s="4">
        <v>0</v>
      </c>
      <c r="V190" s="4">
        <v>0</v>
      </c>
      <c r="W190" s="4">
        <v>0</v>
      </c>
      <c r="X190" s="4">
        <v>0</v>
      </c>
      <c r="Y190" s="4">
        <v>0</v>
      </c>
      <c r="Z190" s="4">
        <v>0</v>
      </c>
      <c r="AA190" s="4">
        <v>0</v>
      </c>
      <c r="AB190" s="4">
        <v>0</v>
      </c>
    </row>
    <row r="191" spans="1:28" x14ac:dyDescent="0.25">
      <c r="A191" s="4" t="s">
        <v>30</v>
      </c>
      <c r="B191" s="4">
        <v>0</v>
      </c>
      <c r="C191" s="4">
        <v>0</v>
      </c>
      <c r="D191" s="4">
        <v>0</v>
      </c>
      <c r="E191" s="4">
        <v>0</v>
      </c>
      <c r="F191" s="4">
        <v>0</v>
      </c>
      <c r="G191" s="4">
        <v>0</v>
      </c>
      <c r="H191" s="4">
        <v>0</v>
      </c>
      <c r="I191" s="4">
        <v>0</v>
      </c>
      <c r="J191" s="4">
        <v>0</v>
      </c>
      <c r="K191" s="4">
        <v>0</v>
      </c>
      <c r="L191" s="4">
        <v>0</v>
      </c>
      <c r="M191" s="4">
        <v>0</v>
      </c>
      <c r="N191" s="4"/>
      <c r="O191" s="4"/>
      <c r="P191" s="4" t="s">
        <v>30</v>
      </c>
      <c r="Q191" s="4">
        <v>0</v>
      </c>
      <c r="R191" s="4">
        <v>0</v>
      </c>
      <c r="S191" s="4">
        <v>0</v>
      </c>
      <c r="T191" s="4">
        <v>0</v>
      </c>
      <c r="U191" s="4">
        <v>0</v>
      </c>
      <c r="V191" s="4">
        <v>0</v>
      </c>
      <c r="W191" s="4">
        <v>0</v>
      </c>
      <c r="X191" s="4">
        <v>0</v>
      </c>
      <c r="Y191" s="4">
        <v>0</v>
      </c>
      <c r="Z191" s="4">
        <v>0</v>
      </c>
      <c r="AA191" s="4">
        <v>0</v>
      </c>
      <c r="AB191" s="4">
        <v>0</v>
      </c>
    </row>
    <row r="192" spans="1:28" x14ac:dyDescent="0.25">
      <c r="A192" s="4" t="s">
        <v>31</v>
      </c>
      <c r="B192" s="4">
        <v>0</v>
      </c>
      <c r="C192" s="4">
        <v>0</v>
      </c>
      <c r="D192" s="4">
        <v>0</v>
      </c>
      <c r="E192" s="4">
        <v>0</v>
      </c>
      <c r="F192" s="4">
        <v>0</v>
      </c>
      <c r="G192" s="4">
        <v>0</v>
      </c>
      <c r="H192" s="4">
        <v>0</v>
      </c>
      <c r="I192" s="4">
        <v>0</v>
      </c>
      <c r="J192" s="4">
        <v>0</v>
      </c>
      <c r="K192" s="4">
        <v>0</v>
      </c>
      <c r="L192" s="4">
        <v>0</v>
      </c>
      <c r="M192" s="4">
        <v>0</v>
      </c>
      <c r="N192" s="4"/>
      <c r="O192" s="4"/>
      <c r="P192" s="4" t="s">
        <v>31</v>
      </c>
      <c r="Q192" s="4">
        <v>0</v>
      </c>
      <c r="R192" s="4">
        <v>0</v>
      </c>
      <c r="S192" s="4">
        <v>0</v>
      </c>
      <c r="T192" s="4">
        <v>0</v>
      </c>
      <c r="U192" s="4">
        <v>0</v>
      </c>
      <c r="V192" s="4">
        <v>0</v>
      </c>
      <c r="W192" s="4">
        <v>0</v>
      </c>
      <c r="X192" s="4">
        <v>0</v>
      </c>
      <c r="Y192" s="4">
        <v>0</v>
      </c>
      <c r="Z192" s="4">
        <v>0</v>
      </c>
      <c r="AA192" s="4">
        <v>0</v>
      </c>
      <c r="AB192" s="4">
        <v>0</v>
      </c>
    </row>
    <row r="193" spans="1:28" x14ac:dyDescent="0.25">
      <c r="A193" s="4" t="s">
        <v>32</v>
      </c>
      <c r="B193" s="4">
        <v>0</v>
      </c>
      <c r="C193" s="4">
        <v>0</v>
      </c>
      <c r="D193" s="4">
        <v>0</v>
      </c>
      <c r="E193" s="4">
        <v>0</v>
      </c>
      <c r="F193" s="4">
        <v>0</v>
      </c>
      <c r="G193" s="4">
        <v>0</v>
      </c>
      <c r="H193" s="4">
        <v>0</v>
      </c>
      <c r="I193" s="4">
        <v>0</v>
      </c>
      <c r="J193" s="4">
        <v>0</v>
      </c>
      <c r="K193" s="4">
        <v>0</v>
      </c>
      <c r="L193" s="4">
        <v>0</v>
      </c>
      <c r="M193" s="4">
        <v>0</v>
      </c>
      <c r="N193" s="4"/>
      <c r="O193" s="4"/>
      <c r="P193" s="4" t="s">
        <v>32</v>
      </c>
      <c r="Q193" s="4">
        <v>0</v>
      </c>
      <c r="R193" s="4">
        <v>0</v>
      </c>
      <c r="S193" s="4">
        <v>0</v>
      </c>
      <c r="T193" s="4">
        <v>0</v>
      </c>
      <c r="U193" s="4">
        <v>0</v>
      </c>
      <c r="V193" s="4">
        <v>0</v>
      </c>
      <c r="W193" s="4">
        <v>0</v>
      </c>
      <c r="X193" s="4">
        <v>0</v>
      </c>
      <c r="Y193" s="4">
        <v>0</v>
      </c>
      <c r="Z193" s="4">
        <v>0</v>
      </c>
      <c r="AA193" s="4">
        <v>0</v>
      </c>
      <c r="AB193" s="4">
        <v>0</v>
      </c>
    </row>
    <row r="194" spans="1:28" x14ac:dyDescent="0.25">
      <c r="A194" s="4" t="s">
        <v>33</v>
      </c>
      <c r="B194" s="4">
        <v>0</v>
      </c>
      <c r="C194" s="4">
        <v>0</v>
      </c>
      <c r="D194" s="4">
        <v>0</v>
      </c>
      <c r="E194" s="4">
        <v>0</v>
      </c>
      <c r="F194" s="4">
        <v>0</v>
      </c>
      <c r="G194" s="4">
        <v>0</v>
      </c>
      <c r="H194" s="4">
        <v>0</v>
      </c>
      <c r="I194" s="4">
        <v>0</v>
      </c>
      <c r="J194" s="4">
        <v>0</v>
      </c>
      <c r="K194" s="4">
        <v>0</v>
      </c>
      <c r="L194" s="4">
        <v>0</v>
      </c>
      <c r="M194" s="4">
        <v>0</v>
      </c>
      <c r="N194" s="4"/>
      <c r="O194" s="4"/>
      <c r="P194" s="4" t="s">
        <v>33</v>
      </c>
      <c r="Q194" s="4">
        <v>0</v>
      </c>
      <c r="R194" s="4">
        <v>0</v>
      </c>
      <c r="S194" s="4">
        <v>0</v>
      </c>
      <c r="T194" s="4">
        <v>0</v>
      </c>
      <c r="U194" s="4">
        <v>0</v>
      </c>
      <c r="V194" s="4">
        <v>0</v>
      </c>
      <c r="W194" s="4">
        <v>0</v>
      </c>
      <c r="X194" s="4">
        <v>0</v>
      </c>
      <c r="Y194" s="4">
        <v>0</v>
      </c>
      <c r="Z194" s="4">
        <v>0</v>
      </c>
      <c r="AA194" s="4">
        <v>0</v>
      </c>
      <c r="AB194" s="4">
        <v>0</v>
      </c>
    </row>
    <row r="195" spans="1:28" x14ac:dyDescent="0.25">
      <c r="A195" s="4" t="s">
        <v>34</v>
      </c>
      <c r="B195" s="4">
        <v>0</v>
      </c>
      <c r="C195" s="4">
        <v>0</v>
      </c>
      <c r="D195" s="4">
        <v>0</v>
      </c>
      <c r="E195" s="4">
        <v>0</v>
      </c>
      <c r="F195" s="4">
        <v>0</v>
      </c>
      <c r="G195" s="4">
        <v>0</v>
      </c>
      <c r="H195" s="4">
        <v>0</v>
      </c>
      <c r="I195" s="4">
        <v>0</v>
      </c>
      <c r="J195" s="4">
        <v>0</v>
      </c>
      <c r="K195" s="4">
        <v>0</v>
      </c>
      <c r="L195" s="4">
        <v>0</v>
      </c>
      <c r="M195" s="4">
        <v>0</v>
      </c>
      <c r="N195" s="4"/>
      <c r="O195" s="4"/>
      <c r="P195" s="4" t="s">
        <v>34</v>
      </c>
      <c r="Q195" s="4">
        <v>0</v>
      </c>
      <c r="R195" s="4">
        <v>0</v>
      </c>
      <c r="S195" s="4">
        <v>0</v>
      </c>
      <c r="T195" s="4">
        <v>0</v>
      </c>
      <c r="U195" s="4">
        <v>0</v>
      </c>
      <c r="V195" s="4">
        <v>0</v>
      </c>
      <c r="W195" s="4">
        <v>0</v>
      </c>
      <c r="X195" s="4">
        <v>0</v>
      </c>
      <c r="Y195" s="4">
        <v>0</v>
      </c>
      <c r="Z195" s="4">
        <v>0</v>
      </c>
      <c r="AA195" s="4">
        <v>0</v>
      </c>
      <c r="AB195" s="4">
        <v>0</v>
      </c>
    </row>
    <row r="196" spans="1:28" x14ac:dyDescent="0.25">
      <c r="A196" s="4" t="s">
        <v>35</v>
      </c>
      <c r="B196" s="4">
        <v>0</v>
      </c>
      <c r="C196" s="4">
        <v>0</v>
      </c>
      <c r="D196" s="4">
        <v>0</v>
      </c>
      <c r="E196" s="4">
        <v>0</v>
      </c>
      <c r="F196" s="4">
        <v>0</v>
      </c>
      <c r="G196" s="4">
        <v>0</v>
      </c>
      <c r="H196" s="4">
        <v>0</v>
      </c>
      <c r="I196" s="4">
        <v>0</v>
      </c>
      <c r="J196" s="4">
        <v>0</v>
      </c>
      <c r="K196" s="4">
        <v>0</v>
      </c>
      <c r="L196" s="4">
        <v>0</v>
      </c>
      <c r="M196" s="4">
        <v>0</v>
      </c>
      <c r="N196" s="4"/>
      <c r="O196" s="4"/>
      <c r="P196" s="4" t="s">
        <v>35</v>
      </c>
      <c r="Q196" s="4">
        <v>0</v>
      </c>
      <c r="R196" s="4">
        <v>0</v>
      </c>
      <c r="S196" s="4">
        <v>0</v>
      </c>
      <c r="T196" s="4">
        <v>0</v>
      </c>
      <c r="U196" s="4">
        <v>0</v>
      </c>
      <c r="V196" s="4">
        <v>0</v>
      </c>
      <c r="W196" s="4">
        <v>0</v>
      </c>
      <c r="X196" s="4">
        <v>0</v>
      </c>
      <c r="Y196" s="4">
        <v>0</v>
      </c>
      <c r="Z196" s="4">
        <v>0</v>
      </c>
      <c r="AA196" s="4">
        <v>0</v>
      </c>
      <c r="AB196" s="4">
        <v>0</v>
      </c>
    </row>
    <row r="197" spans="1:28" x14ac:dyDescent="0.25">
      <c r="A197" s="4" t="s">
        <v>36</v>
      </c>
      <c r="B197" s="4">
        <v>0</v>
      </c>
      <c r="C197" s="4">
        <v>0</v>
      </c>
      <c r="D197" s="4">
        <v>0</v>
      </c>
      <c r="E197" s="4">
        <v>0</v>
      </c>
      <c r="F197" s="4">
        <v>0</v>
      </c>
      <c r="G197" s="4">
        <v>0</v>
      </c>
      <c r="H197" s="4">
        <v>0</v>
      </c>
      <c r="I197" s="4">
        <v>0</v>
      </c>
      <c r="J197" s="4">
        <v>0</v>
      </c>
      <c r="K197" s="4">
        <v>0</v>
      </c>
      <c r="L197" s="4">
        <v>0</v>
      </c>
      <c r="M197" s="4">
        <v>0</v>
      </c>
      <c r="N197" s="4"/>
      <c r="O197" s="4"/>
      <c r="P197" s="4" t="s">
        <v>36</v>
      </c>
      <c r="Q197" s="4">
        <v>0</v>
      </c>
      <c r="R197" s="4">
        <v>0</v>
      </c>
      <c r="S197" s="4">
        <v>0</v>
      </c>
      <c r="T197" s="4">
        <v>0</v>
      </c>
      <c r="U197" s="4">
        <v>0</v>
      </c>
      <c r="V197" s="4">
        <v>0</v>
      </c>
      <c r="W197" s="4">
        <v>0</v>
      </c>
      <c r="X197" s="4">
        <v>0</v>
      </c>
      <c r="Y197" s="4">
        <v>0</v>
      </c>
      <c r="Z197" s="4">
        <v>0</v>
      </c>
      <c r="AA197" s="4">
        <v>0</v>
      </c>
      <c r="AB197" s="4">
        <v>0</v>
      </c>
    </row>
    <row r="200" spans="1:28" x14ac:dyDescent="0.25">
      <c r="A200" s="4" t="s">
        <v>101</v>
      </c>
      <c r="B200" s="4"/>
      <c r="C200" s="4"/>
      <c r="D200" s="4"/>
      <c r="E200" s="4"/>
      <c r="F200" s="4"/>
      <c r="G200" s="4"/>
      <c r="H200" s="4"/>
      <c r="I200" s="4"/>
      <c r="J200" s="4"/>
      <c r="K200" s="4"/>
      <c r="L200" s="4"/>
      <c r="M200" s="4"/>
      <c r="N200" s="4"/>
      <c r="O200" s="4"/>
      <c r="P200" s="4" t="s">
        <v>101</v>
      </c>
      <c r="Q200" s="4"/>
      <c r="R200" s="4"/>
      <c r="S200" s="4"/>
      <c r="T200" s="4"/>
      <c r="U200" s="4"/>
      <c r="V200" s="4"/>
      <c r="W200" s="4"/>
      <c r="X200" s="4"/>
      <c r="Y200" s="4"/>
      <c r="Z200" s="4"/>
      <c r="AA200" s="4"/>
      <c r="AB200" s="4"/>
    </row>
    <row r="201" spans="1:28" x14ac:dyDescent="0.25">
      <c r="A201" s="4"/>
      <c r="B201" s="4" t="s">
        <v>1</v>
      </c>
      <c r="C201" s="4" t="s">
        <v>2</v>
      </c>
      <c r="D201" s="4" t="s">
        <v>3</v>
      </c>
      <c r="E201" s="4" t="s">
        <v>4</v>
      </c>
      <c r="F201" s="4" t="s">
        <v>5</v>
      </c>
      <c r="G201" s="4" t="s">
        <v>6</v>
      </c>
      <c r="H201" s="4" t="s">
        <v>7</v>
      </c>
      <c r="I201" s="4" t="s">
        <v>8</v>
      </c>
      <c r="J201" s="4" t="s">
        <v>9</v>
      </c>
      <c r="K201" s="4" t="s">
        <v>10</v>
      </c>
      <c r="L201" s="4" t="s">
        <v>11</v>
      </c>
      <c r="M201" s="4" t="s">
        <v>12</v>
      </c>
      <c r="N201" s="4"/>
      <c r="O201" s="4"/>
      <c r="P201" s="4"/>
      <c r="Q201" s="4" t="s">
        <v>1</v>
      </c>
      <c r="R201" s="4" t="s">
        <v>2</v>
      </c>
      <c r="S201" s="4" t="s">
        <v>3</v>
      </c>
      <c r="T201" s="4" t="s">
        <v>4</v>
      </c>
      <c r="U201" s="4" t="s">
        <v>5</v>
      </c>
      <c r="V201" s="4" t="s">
        <v>6</v>
      </c>
      <c r="W201" s="4" t="s">
        <v>7</v>
      </c>
      <c r="X201" s="4" t="s">
        <v>8</v>
      </c>
      <c r="Y201" s="4" t="s">
        <v>9</v>
      </c>
      <c r="Z201" s="4" t="s">
        <v>10</v>
      </c>
      <c r="AA201" s="4" t="s">
        <v>11</v>
      </c>
      <c r="AB201" s="4" t="s">
        <v>12</v>
      </c>
    </row>
    <row r="202" spans="1:28" x14ac:dyDescent="0.25">
      <c r="A202" s="4" t="s">
        <v>13</v>
      </c>
      <c r="B202" s="4">
        <v>0</v>
      </c>
      <c r="C202" s="4">
        <v>0</v>
      </c>
      <c r="D202" s="4">
        <v>0</v>
      </c>
      <c r="E202" s="4">
        <v>0</v>
      </c>
      <c r="F202" s="4">
        <v>0</v>
      </c>
      <c r="G202" s="4">
        <v>0</v>
      </c>
      <c r="H202" s="4">
        <v>0</v>
      </c>
      <c r="I202" s="4">
        <v>0</v>
      </c>
      <c r="J202" s="4">
        <v>0</v>
      </c>
      <c r="K202" s="4">
        <v>0</v>
      </c>
      <c r="L202" s="4">
        <v>0</v>
      </c>
      <c r="M202" s="4">
        <v>0</v>
      </c>
      <c r="N202" s="4"/>
      <c r="O202" s="4"/>
      <c r="P202" s="4" t="s">
        <v>13</v>
      </c>
      <c r="Q202" s="4">
        <v>0</v>
      </c>
      <c r="R202" s="4">
        <v>0</v>
      </c>
      <c r="S202" s="4">
        <v>0</v>
      </c>
      <c r="T202" s="4">
        <v>0</v>
      </c>
      <c r="U202" s="4">
        <v>0</v>
      </c>
      <c r="V202" s="4">
        <v>0</v>
      </c>
      <c r="W202" s="4">
        <v>0</v>
      </c>
      <c r="X202" s="4">
        <v>0</v>
      </c>
      <c r="Y202" s="4">
        <v>0</v>
      </c>
      <c r="Z202" s="4">
        <v>0</v>
      </c>
      <c r="AA202" s="4">
        <v>0</v>
      </c>
      <c r="AB202" s="4">
        <v>0</v>
      </c>
    </row>
    <row r="203" spans="1:28" x14ac:dyDescent="0.25">
      <c r="A203" s="4" t="s">
        <v>14</v>
      </c>
      <c r="B203" s="4">
        <v>0</v>
      </c>
      <c r="C203" s="4">
        <v>0</v>
      </c>
      <c r="D203" s="4">
        <v>0</v>
      </c>
      <c r="E203" s="4">
        <v>0</v>
      </c>
      <c r="F203" s="4">
        <v>0</v>
      </c>
      <c r="G203" s="4">
        <v>0</v>
      </c>
      <c r="H203" s="4">
        <v>0</v>
      </c>
      <c r="I203" s="4">
        <v>0</v>
      </c>
      <c r="J203" s="4">
        <v>0</v>
      </c>
      <c r="K203" s="4">
        <v>0</v>
      </c>
      <c r="L203" s="4">
        <v>0</v>
      </c>
      <c r="M203" s="4">
        <v>0</v>
      </c>
      <c r="N203" s="4"/>
      <c r="O203" s="4"/>
      <c r="P203" s="4" t="s">
        <v>14</v>
      </c>
      <c r="Q203" s="4">
        <v>0</v>
      </c>
      <c r="R203" s="4">
        <v>0</v>
      </c>
      <c r="S203" s="4">
        <v>0</v>
      </c>
      <c r="T203" s="4">
        <v>0</v>
      </c>
      <c r="U203" s="4">
        <v>0</v>
      </c>
      <c r="V203" s="4">
        <v>0</v>
      </c>
      <c r="W203" s="4">
        <v>0</v>
      </c>
      <c r="X203" s="4">
        <v>0</v>
      </c>
      <c r="Y203" s="4">
        <v>0</v>
      </c>
      <c r="Z203" s="4">
        <v>0</v>
      </c>
      <c r="AA203" s="4">
        <v>0</v>
      </c>
      <c r="AB203" s="4">
        <v>0</v>
      </c>
    </row>
    <row r="204" spans="1:28" x14ac:dyDescent="0.25">
      <c r="A204" s="4" t="s">
        <v>15</v>
      </c>
      <c r="B204" s="4">
        <v>0</v>
      </c>
      <c r="C204" s="4">
        <v>0</v>
      </c>
      <c r="D204" s="4">
        <v>0</v>
      </c>
      <c r="E204" s="4">
        <v>0</v>
      </c>
      <c r="F204" s="4">
        <v>0</v>
      </c>
      <c r="G204" s="4">
        <v>0</v>
      </c>
      <c r="H204" s="4">
        <v>0</v>
      </c>
      <c r="I204" s="4">
        <v>0</v>
      </c>
      <c r="J204" s="4">
        <v>0</v>
      </c>
      <c r="K204" s="4">
        <v>0</v>
      </c>
      <c r="L204" s="4">
        <v>0</v>
      </c>
      <c r="M204" s="4">
        <v>0</v>
      </c>
      <c r="N204" s="4"/>
      <c r="O204" s="4"/>
      <c r="P204" s="4" t="s">
        <v>15</v>
      </c>
      <c r="Q204" s="4">
        <v>0</v>
      </c>
      <c r="R204" s="4">
        <v>0</v>
      </c>
      <c r="S204" s="4">
        <v>0</v>
      </c>
      <c r="T204" s="4">
        <v>0</v>
      </c>
      <c r="U204" s="4">
        <v>0</v>
      </c>
      <c r="V204" s="4">
        <v>0</v>
      </c>
      <c r="W204" s="4">
        <v>0</v>
      </c>
      <c r="X204" s="4">
        <v>0</v>
      </c>
      <c r="Y204" s="4">
        <v>0</v>
      </c>
      <c r="Z204" s="4">
        <v>0</v>
      </c>
      <c r="AA204" s="4">
        <v>0</v>
      </c>
      <c r="AB204" s="4">
        <v>0</v>
      </c>
    </row>
    <row r="205" spans="1:28" x14ac:dyDescent="0.25">
      <c r="A205" s="4" t="s">
        <v>16</v>
      </c>
      <c r="B205" s="4">
        <v>0</v>
      </c>
      <c r="C205" s="4">
        <v>0</v>
      </c>
      <c r="D205" s="4">
        <v>0</v>
      </c>
      <c r="E205" s="4">
        <v>0</v>
      </c>
      <c r="F205" s="4">
        <v>0</v>
      </c>
      <c r="G205" s="4">
        <v>0</v>
      </c>
      <c r="H205" s="4">
        <v>0</v>
      </c>
      <c r="I205" s="4">
        <v>0</v>
      </c>
      <c r="J205" s="4">
        <v>0</v>
      </c>
      <c r="K205" s="4">
        <v>0</v>
      </c>
      <c r="L205" s="4">
        <v>0</v>
      </c>
      <c r="M205" s="4">
        <v>0</v>
      </c>
      <c r="N205" s="4"/>
      <c r="O205" s="4"/>
      <c r="P205" s="4" t="s">
        <v>16</v>
      </c>
      <c r="Q205" s="4">
        <v>0</v>
      </c>
      <c r="R205" s="4">
        <v>0</v>
      </c>
      <c r="S205" s="4">
        <v>0</v>
      </c>
      <c r="T205" s="4">
        <v>0</v>
      </c>
      <c r="U205" s="4">
        <v>0</v>
      </c>
      <c r="V205" s="4">
        <v>0</v>
      </c>
      <c r="W205" s="4">
        <v>0</v>
      </c>
      <c r="X205" s="4">
        <v>0</v>
      </c>
      <c r="Y205" s="4">
        <v>0</v>
      </c>
      <c r="Z205" s="4">
        <v>0</v>
      </c>
      <c r="AA205" s="4">
        <v>0</v>
      </c>
      <c r="AB205" s="4">
        <v>0</v>
      </c>
    </row>
    <row r="206" spans="1:28" x14ac:dyDescent="0.25">
      <c r="A206" s="4" t="s">
        <v>17</v>
      </c>
      <c r="B206" s="4">
        <v>0</v>
      </c>
      <c r="C206" s="4">
        <v>0</v>
      </c>
      <c r="D206" s="4">
        <v>0</v>
      </c>
      <c r="E206" s="4">
        <v>0</v>
      </c>
      <c r="F206" s="4">
        <v>0</v>
      </c>
      <c r="G206" s="4">
        <v>0</v>
      </c>
      <c r="H206" s="4">
        <v>0</v>
      </c>
      <c r="I206" s="4">
        <v>0</v>
      </c>
      <c r="J206" s="4">
        <v>0</v>
      </c>
      <c r="K206" s="4">
        <v>0</v>
      </c>
      <c r="L206" s="4">
        <v>0</v>
      </c>
      <c r="M206" s="4">
        <v>0</v>
      </c>
      <c r="N206" s="4"/>
      <c r="O206" s="4"/>
      <c r="P206" s="4" t="s">
        <v>17</v>
      </c>
      <c r="Q206" s="4">
        <v>0</v>
      </c>
      <c r="R206" s="4">
        <v>0</v>
      </c>
      <c r="S206" s="4">
        <v>0</v>
      </c>
      <c r="T206" s="4">
        <v>0</v>
      </c>
      <c r="U206" s="4">
        <v>0</v>
      </c>
      <c r="V206" s="4">
        <v>0</v>
      </c>
      <c r="W206" s="4">
        <v>0</v>
      </c>
      <c r="X206" s="4">
        <v>0</v>
      </c>
      <c r="Y206" s="4">
        <v>0</v>
      </c>
      <c r="Z206" s="4">
        <v>0</v>
      </c>
      <c r="AA206" s="4">
        <v>0</v>
      </c>
      <c r="AB206" s="4">
        <v>0</v>
      </c>
    </row>
    <row r="207" spans="1:28" x14ac:dyDescent="0.25">
      <c r="A207" s="4" t="s">
        <v>18</v>
      </c>
      <c r="B207" s="4">
        <v>0</v>
      </c>
      <c r="C207" s="4">
        <v>0</v>
      </c>
      <c r="D207" s="4">
        <v>0</v>
      </c>
      <c r="E207" s="4">
        <v>0</v>
      </c>
      <c r="F207" s="4">
        <v>0</v>
      </c>
      <c r="G207" s="4">
        <v>0</v>
      </c>
      <c r="H207" s="4">
        <v>0</v>
      </c>
      <c r="I207" s="4">
        <v>0</v>
      </c>
      <c r="J207" s="4">
        <v>0</v>
      </c>
      <c r="K207" s="4">
        <v>0</v>
      </c>
      <c r="L207" s="4">
        <v>0</v>
      </c>
      <c r="M207" s="4">
        <v>0</v>
      </c>
      <c r="N207" s="4"/>
      <c r="O207" s="4"/>
      <c r="P207" s="4" t="s">
        <v>18</v>
      </c>
      <c r="Q207" s="4">
        <v>0</v>
      </c>
      <c r="R207" s="4">
        <v>0</v>
      </c>
      <c r="S207" s="4">
        <v>0</v>
      </c>
      <c r="T207" s="4">
        <v>0</v>
      </c>
      <c r="U207" s="4">
        <v>0</v>
      </c>
      <c r="V207" s="4">
        <v>0</v>
      </c>
      <c r="W207" s="4">
        <v>0</v>
      </c>
      <c r="X207" s="4">
        <v>0</v>
      </c>
      <c r="Y207" s="4">
        <v>0</v>
      </c>
      <c r="Z207" s="4">
        <v>0</v>
      </c>
      <c r="AA207" s="4">
        <v>0</v>
      </c>
      <c r="AB207" s="4">
        <v>0</v>
      </c>
    </row>
    <row r="208" spans="1:28" x14ac:dyDescent="0.25">
      <c r="A208" s="4" t="s">
        <v>19</v>
      </c>
      <c r="B208" s="4">
        <v>0</v>
      </c>
      <c r="C208" s="4">
        <v>0</v>
      </c>
      <c r="D208" s="4">
        <v>0</v>
      </c>
      <c r="E208" s="4">
        <v>16.734002458837804</v>
      </c>
      <c r="F208" s="4">
        <v>51.854842246115041</v>
      </c>
      <c r="G208" s="4">
        <v>67.022583724859857</v>
      </c>
      <c r="H208" s="4">
        <v>54.222875034138042</v>
      </c>
      <c r="I208" s="4">
        <v>17.619213645325306</v>
      </c>
      <c r="J208" s="4">
        <v>0</v>
      </c>
      <c r="K208" s="4">
        <v>0</v>
      </c>
      <c r="L208" s="4">
        <v>0</v>
      </c>
      <c r="M208" s="4">
        <v>0</v>
      </c>
      <c r="N208" s="4"/>
      <c r="O208" s="4"/>
      <c r="P208" s="4" t="s">
        <v>19</v>
      </c>
      <c r="Q208" s="4">
        <v>0</v>
      </c>
      <c r="R208" s="4">
        <v>0</v>
      </c>
      <c r="S208" s="4">
        <v>0</v>
      </c>
      <c r="T208" s="4">
        <v>281.13124130847507</v>
      </c>
      <c r="U208" s="4">
        <v>871.16134973473277</v>
      </c>
      <c r="V208" s="4">
        <v>1125.9794065776457</v>
      </c>
      <c r="W208" s="4">
        <v>910.94430057351906</v>
      </c>
      <c r="X208" s="4">
        <v>296.00278924146511</v>
      </c>
      <c r="Y208" s="4">
        <v>0</v>
      </c>
      <c r="Z208" s="4">
        <v>0</v>
      </c>
      <c r="AA208" s="4">
        <v>0</v>
      </c>
      <c r="AB208" s="4">
        <v>0</v>
      </c>
    </row>
    <row r="209" spans="1:28" x14ac:dyDescent="0.25">
      <c r="A209" s="4" t="s">
        <v>20</v>
      </c>
      <c r="B209" s="4">
        <v>395.6596443197447</v>
      </c>
      <c r="C209" s="4">
        <v>408.38005689721626</v>
      </c>
      <c r="D209" s="4">
        <v>211.03401693666092</v>
      </c>
      <c r="E209" s="4">
        <v>154.66219683327745</v>
      </c>
      <c r="F209" s="4">
        <v>185.68526164646096</v>
      </c>
      <c r="G209" s="4">
        <v>198.3731099116994</v>
      </c>
      <c r="H209" s="4">
        <v>192.93608864916754</v>
      </c>
      <c r="I209" s="4">
        <v>166.45357780463556</v>
      </c>
      <c r="J209" s="4">
        <v>206.90789533064935</v>
      </c>
      <c r="K209" s="4">
        <v>372.33276022581924</v>
      </c>
      <c r="L209" s="4">
        <v>373.77932631183154</v>
      </c>
      <c r="M209" s="4">
        <v>293.22998275222187</v>
      </c>
      <c r="N209" s="4"/>
      <c r="O209" s="4"/>
      <c r="P209" s="4" t="s">
        <v>20</v>
      </c>
      <c r="Q209" s="4">
        <v>6647.0820245717114</v>
      </c>
      <c r="R209" s="4">
        <v>6860.7849558732332</v>
      </c>
      <c r="S209" s="4">
        <v>3545.3714845359036</v>
      </c>
      <c r="T209" s="4">
        <v>2598.324906799061</v>
      </c>
      <c r="U209" s="4">
        <v>3119.5123956605444</v>
      </c>
      <c r="V209" s="4">
        <v>3332.66824651655</v>
      </c>
      <c r="W209" s="4">
        <v>3241.3262893060146</v>
      </c>
      <c r="X209" s="4">
        <v>2796.4201071178773</v>
      </c>
      <c r="Y209" s="4">
        <v>3476.0526415549093</v>
      </c>
      <c r="Z209" s="4">
        <v>6255.1903717937639</v>
      </c>
      <c r="AA209" s="4">
        <v>6279.49268203877</v>
      </c>
      <c r="AB209" s="4">
        <v>4926.2637102373274</v>
      </c>
    </row>
    <row r="210" spans="1:28" x14ac:dyDescent="0.25">
      <c r="A210" s="4" t="s">
        <v>21</v>
      </c>
      <c r="B210" s="4">
        <v>1271.4053851822794</v>
      </c>
      <c r="C210" s="4">
        <v>951.68223742457872</v>
      </c>
      <c r="D210" s="4">
        <v>526.66026030321882</v>
      </c>
      <c r="E210" s="4">
        <v>246.01805829950575</v>
      </c>
      <c r="F210" s="4">
        <v>274.50791035668789</v>
      </c>
      <c r="G210" s="4">
        <v>286.17157478660454</v>
      </c>
      <c r="H210" s="4">
        <v>283.77706430003178</v>
      </c>
      <c r="I210" s="4">
        <v>262.87893149118793</v>
      </c>
      <c r="J210" s="4">
        <v>515.95768958946906</v>
      </c>
      <c r="K210" s="4">
        <v>903.55298792549945</v>
      </c>
      <c r="L210" s="4">
        <v>1235.3001735618061</v>
      </c>
      <c r="M210" s="4">
        <v>1335.174724345846</v>
      </c>
      <c r="N210" s="4"/>
      <c r="O210" s="4"/>
      <c r="P210" s="4" t="s">
        <v>21</v>
      </c>
      <c r="Q210" s="4">
        <v>21359.610471062293</v>
      </c>
      <c r="R210" s="4">
        <v>15988.261588732921</v>
      </c>
      <c r="S210" s="4">
        <v>8847.8923730940769</v>
      </c>
      <c r="T210" s="4">
        <v>4133.1033794316963</v>
      </c>
      <c r="U210" s="4">
        <v>4611.7328939923564</v>
      </c>
      <c r="V210" s="4">
        <v>4807.6824564149556</v>
      </c>
      <c r="W210" s="4">
        <v>4767.4546802405339</v>
      </c>
      <c r="X210" s="4">
        <v>4416.3660490519578</v>
      </c>
      <c r="Y210" s="4">
        <v>8668.089185103081</v>
      </c>
      <c r="Z210" s="4">
        <v>15179.690197148389</v>
      </c>
      <c r="AA210" s="4">
        <v>20753.042915838341</v>
      </c>
      <c r="AB210" s="4">
        <v>22430.935369010214</v>
      </c>
    </row>
    <row r="211" spans="1:28" x14ac:dyDescent="0.25">
      <c r="A211" s="4" t="s">
        <v>22</v>
      </c>
      <c r="B211" s="4">
        <v>1769.0925354480053</v>
      </c>
      <c r="C211" s="4">
        <v>1375.2232547915876</v>
      </c>
      <c r="D211" s="4">
        <v>838.58893863238586</v>
      </c>
      <c r="E211" s="4">
        <v>393.72651481492056</v>
      </c>
      <c r="F211" s="4">
        <v>341.18751316811432</v>
      </c>
      <c r="G211" s="4">
        <v>351.80431931885732</v>
      </c>
      <c r="H211" s="4">
        <v>351.05382450795173</v>
      </c>
      <c r="I211" s="4">
        <v>389.74340845487274</v>
      </c>
      <c r="J211" s="4">
        <v>818.95717829102011</v>
      </c>
      <c r="K211" s="4">
        <v>1319.5731811201492</v>
      </c>
      <c r="L211" s="4">
        <v>1732.4029417483569</v>
      </c>
      <c r="M211" s="4">
        <v>1870.2246764108252</v>
      </c>
      <c r="N211" s="4"/>
      <c r="O211" s="4"/>
      <c r="P211" s="4" t="s">
        <v>22</v>
      </c>
      <c r="Q211" s="4">
        <v>29720.754595526487</v>
      </c>
      <c r="R211" s="4">
        <v>23103.75068049867</v>
      </c>
      <c r="S211" s="4">
        <v>14088.294169024082</v>
      </c>
      <c r="T211" s="4">
        <v>6614.6054488906657</v>
      </c>
      <c r="U211" s="4">
        <v>5731.9502212243206</v>
      </c>
      <c r="V211" s="4">
        <v>5910.3125645568025</v>
      </c>
      <c r="W211" s="4">
        <v>5897.7042517335894</v>
      </c>
      <c r="X211" s="4">
        <v>6547.6892620418621</v>
      </c>
      <c r="Y211" s="4">
        <v>13758.480595289138</v>
      </c>
      <c r="Z211" s="4">
        <v>22168.829442818507</v>
      </c>
      <c r="AA211" s="4">
        <v>29104.369421372397</v>
      </c>
      <c r="AB211" s="4">
        <v>31419.774563701863</v>
      </c>
    </row>
    <row r="212" spans="1:28" x14ac:dyDescent="0.25">
      <c r="A212" s="4" t="s">
        <v>23</v>
      </c>
      <c r="B212" s="4">
        <v>2100.5434862111779</v>
      </c>
      <c r="C212" s="4">
        <v>1698.3057705278532</v>
      </c>
      <c r="D212" s="4">
        <v>1098.688222397406</v>
      </c>
      <c r="E212" s="4">
        <v>559.89193621406184</v>
      </c>
      <c r="F212" s="4">
        <v>389.47298088428209</v>
      </c>
      <c r="G212" s="4">
        <v>399.13374084156055</v>
      </c>
      <c r="H212" s="4">
        <v>399.40778857262268</v>
      </c>
      <c r="I212" s="4">
        <v>544.89523481065646</v>
      </c>
      <c r="J212" s="4">
        <v>1071.1228279958834</v>
      </c>
      <c r="K212" s="4">
        <v>1636.8145610332504</v>
      </c>
      <c r="L212" s="4">
        <v>2062.8237846514835</v>
      </c>
      <c r="M212" s="4">
        <v>2215.3100789194214</v>
      </c>
      <c r="N212" s="4"/>
      <c r="O212" s="4"/>
      <c r="P212" s="4" t="s">
        <v>23</v>
      </c>
      <c r="Q212" s="4">
        <v>35289.130568347791</v>
      </c>
      <c r="R212" s="4">
        <v>28531.53694486793</v>
      </c>
      <c r="S212" s="4">
        <v>18457.962136276419</v>
      </c>
      <c r="T212" s="4">
        <v>9406.1845283962393</v>
      </c>
      <c r="U212" s="4">
        <v>6543.1460788559389</v>
      </c>
      <c r="V212" s="4">
        <v>6705.4468461382166</v>
      </c>
      <c r="W212" s="4">
        <v>6710.0508480200606</v>
      </c>
      <c r="X212" s="4">
        <v>9154.2399448190281</v>
      </c>
      <c r="Y212" s="4">
        <v>17994.863510330841</v>
      </c>
      <c r="Z212" s="4">
        <v>27498.484625358604</v>
      </c>
      <c r="AA212" s="4">
        <v>34655.439582144929</v>
      </c>
      <c r="AB212" s="4">
        <v>37217.209325846285</v>
      </c>
    </row>
    <row r="213" spans="1:28" x14ac:dyDescent="0.25">
      <c r="A213" s="4" t="s">
        <v>24</v>
      </c>
      <c r="B213" s="4">
        <v>2298.5451836911088</v>
      </c>
      <c r="C213" s="4">
        <v>1894.0457442669137</v>
      </c>
      <c r="D213" s="4">
        <v>1270.1023418243244</v>
      </c>
      <c r="E213" s="4">
        <v>678.14797964448849</v>
      </c>
      <c r="F213" s="4">
        <v>422.96613017083536</v>
      </c>
      <c r="G213" s="4">
        <v>428.02525221673579</v>
      </c>
      <c r="H213" s="4">
        <v>428.88571625851597</v>
      </c>
      <c r="I213" s="4">
        <v>656.32892736105771</v>
      </c>
      <c r="J213" s="4">
        <v>1237.2183451189208</v>
      </c>
      <c r="K213" s="4">
        <v>1831.6209295262092</v>
      </c>
      <c r="L213" s="4">
        <v>2260.1407917193446</v>
      </c>
      <c r="M213" s="4">
        <v>2417.8235982263827</v>
      </c>
      <c r="N213" s="4"/>
      <c r="O213" s="4"/>
      <c r="P213" s="4" t="s">
        <v>24</v>
      </c>
      <c r="Q213" s="4">
        <v>38615.559086010631</v>
      </c>
      <c r="R213" s="4">
        <v>31819.968503684151</v>
      </c>
      <c r="S213" s="4">
        <v>21337.719342648648</v>
      </c>
      <c r="T213" s="4">
        <v>11392.886058027405</v>
      </c>
      <c r="U213" s="4">
        <v>7105.8309868700344</v>
      </c>
      <c r="V213" s="4">
        <v>7190.8242372411605</v>
      </c>
      <c r="W213" s="4">
        <v>7205.2800331430681</v>
      </c>
      <c r="X213" s="4">
        <v>11026.325979665769</v>
      </c>
      <c r="Y213" s="4">
        <v>20785.26819799787</v>
      </c>
      <c r="Z213" s="4">
        <v>30771.231616040313</v>
      </c>
      <c r="AA213" s="4">
        <v>37970.365300884987</v>
      </c>
      <c r="AB213" s="4">
        <v>40619.436450203226</v>
      </c>
    </row>
    <row r="214" spans="1:28" x14ac:dyDescent="0.25">
      <c r="A214" s="4" t="s">
        <v>25</v>
      </c>
      <c r="B214" s="4">
        <v>2364.7796877465385</v>
      </c>
      <c r="C214" s="4">
        <v>1956.8506271421063</v>
      </c>
      <c r="D214" s="4">
        <v>1329.8350593029609</v>
      </c>
      <c r="E214" s="4">
        <v>720.59641046100205</v>
      </c>
      <c r="F214" s="4">
        <v>444.95998499596806</v>
      </c>
      <c r="G214" s="4">
        <v>437.76136569757819</v>
      </c>
      <c r="H214" s="4">
        <v>443.53395343291021</v>
      </c>
      <c r="I214" s="4">
        <v>696.44945504515067</v>
      </c>
      <c r="J214" s="4">
        <v>1295.0891311323246</v>
      </c>
      <c r="K214" s="4">
        <v>1893.4820135516525</v>
      </c>
      <c r="L214" s="4">
        <v>2326.1346260115361</v>
      </c>
      <c r="M214" s="4">
        <v>2485.0940898379076</v>
      </c>
      <c r="N214" s="4"/>
      <c r="O214" s="4"/>
      <c r="P214" s="4" t="s">
        <v>25</v>
      </c>
      <c r="Q214" s="4">
        <v>39728.298754141841</v>
      </c>
      <c r="R214" s="4">
        <v>32875.090535987387</v>
      </c>
      <c r="S214" s="4">
        <v>22341.228996289741</v>
      </c>
      <c r="T214" s="4">
        <v>12106.019695744835</v>
      </c>
      <c r="U214" s="4">
        <v>7475.3277479322642</v>
      </c>
      <c r="V214" s="4">
        <v>7354.3909437193133</v>
      </c>
      <c r="W214" s="4">
        <v>7451.3704176728916</v>
      </c>
      <c r="X214" s="4">
        <v>11700.35084475853</v>
      </c>
      <c r="Y214" s="4">
        <v>21757.497403023051</v>
      </c>
      <c r="Z214" s="4">
        <v>31810.497827667761</v>
      </c>
      <c r="AA214" s="4">
        <v>39079.061716993805</v>
      </c>
      <c r="AB214" s="4">
        <v>41749.580709276852</v>
      </c>
    </row>
    <row r="215" spans="1:28" x14ac:dyDescent="0.25">
      <c r="A215" s="4" t="s">
        <v>26</v>
      </c>
      <c r="B215" s="4">
        <v>2298.5451836911088</v>
      </c>
      <c r="C215" s="4">
        <v>1894.0457442669137</v>
      </c>
      <c r="D215" s="4">
        <v>1270.1023418243244</v>
      </c>
      <c r="E215" s="4">
        <v>678.14797964448849</v>
      </c>
      <c r="F215" s="4">
        <v>422.96613017083536</v>
      </c>
      <c r="G215" s="4">
        <v>428.02525221673579</v>
      </c>
      <c r="H215" s="4">
        <v>428.88571625851597</v>
      </c>
      <c r="I215" s="4">
        <v>656.32892736105771</v>
      </c>
      <c r="J215" s="4">
        <v>1237.2183451189208</v>
      </c>
      <c r="K215" s="4">
        <v>1831.6209295262092</v>
      </c>
      <c r="L215" s="4">
        <v>2260.1407917193446</v>
      </c>
      <c r="M215" s="4">
        <v>2417.8235982263827</v>
      </c>
      <c r="N215" s="4"/>
      <c r="O215" s="4"/>
      <c r="P215" s="4" t="s">
        <v>26</v>
      </c>
      <c r="Q215" s="4">
        <v>38615.559086010631</v>
      </c>
      <c r="R215" s="4">
        <v>31819.968503684151</v>
      </c>
      <c r="S215" s="4">
        <v>21337.719342648648</v>
      </c>
      <c r="T215" s="4">
        <v>11392.886058027405</v>
      </c>
      <c r="U215" s="4">
        <v>7105.8309868700344</v>
      </c>
      <c r="V215" s="4">
        <v>7190.8242372411605</v>
      </c>
      <c r="W215" s="4">
        <v>7205.2800331430681</v>
      </c>
      <c r="X215" s="4">
        <v>11026.325979665769</v>
      </c>
      <c r="Y215" s="4">
        <v>20785.26819799787</v>
      </c>
      <c r="Z215" s="4">
        <v>30771.231616040313</v>
      </c>
      <c r="AA215" s="4">
        <v>37970.365300884987</v>
      </c>
      <c r="AB215" s="4">
        <v>40619.436450203226</v>
      </c>
    </row>
    <row r="216" spans="1:28" x14ac:dyDescent="0.25">
      <c r="A216" s="4" t="s">
        <v>27</v>
      </c>
      <c r="B216" s="4">
        <v>2100.5434862111779</v>
      </c>
      <c r="C216" s="4">
        <v>1698.3057705278532</v>
      </c>
      <c r="D216" s="4">
        <v>1098.688222397406</v>
      </c>
      <c r="E216" s="4">
        <v>559.89193621406184</v>
      </c>
      <c r="F216" s="4">
        <v>389.47298088428209</v>
      </c>
      <c r="G216" s="4">
        <v>399.13374084156055</v>
      </c>
      <c r="H216" s="4">
        <v>399.40778857262268</v>
      </c>
      <c r="I216" s="4">
        <v>544.89523481065646</v>
      </c>
      <c r="J216" s="4">
        <v>1071.1228279958834</v>
      </c>
      <c r="K216" s="4">
        <v>1636.8145610332504</v>
      </c>
      <c r="L216" s="4">
        <v>2062.8237846514835</v>
      </c>
      <c r="M216" s="4">
        <v>2215.3100789194214</v>
      </c>
      <c r="N216" s="4"/>
      <c r="O216" s="4"/>
      <c r="P216" s="4" t="s">
        <v>27</v>
      </c>
      <c r="Q216" s="4">
        <v>35289.130568347791</v>
      </c>
      <c r="R216" s="4">
        <v>28531.53694486793</v>
      </c>
      <c r="S216" s="4">
        <v>18457.962136276419</v>
      </c>
      <c r="T216" s="4">
        <v>9406.1845283962393</v>
      </c>
      <c r="U216" s="4">
        <v>6543.1460788559389</v>
      </c>
      <c r="V216" s="4">
        <v>6705.4468461382166</v>
      </c>
      <c r="W216" s="4">
        <v>6710.0508480200606</v>
      </c>
      <c r="X216" s="4">
        <v>9154.2399448190281</v>
      </c>
      <c r="Y216" s="4">
        <v>17994.863510330841</v>
      </c>
      <c r="Z216" s="4">
        <v>27498.484625358604</v>
      </c>
      <c r="AA216" s="4">
        <v>34655.439582144929</v>
      </c>
      <c r="AB216" s="4">
        <v>37217.209325846285</v>
      </c>
    </row>
    <row r="217" spans="1:28" x14ac:dyDescent="0.25">
      <c r="A217" s="4" t="s">
        <v>28</v>
      </c>
      <c r="B217" s="4">
        <v>1769.0925354480053</v>
      </c>
      <c r="C217" s="4">
        <v>1375.2232547915876</v>
      </c>
      <c r="D217" s="4">
        <v>838.58893863238586</v>
      </c>
      <c r="E217" s="4">
        <v>393.72651481492056</v>
      </c>
      <c r="F217" s="4">
        <v>341.18751316811432</v>
      </c>
      <c r="G217" s="4">
        <v>351.80431931885732</v>
      </c>
      <c r="H217" s="4">
        <v>351.05382450795173</v>
      </c>
      <c r="I217" s="4">
        <v>389.74340845487274</v>
      </c>
      <c r="J217" s="4">
        <v>818.95717829102011</v>
      </c>
      <c r="K217" s="4">
        <v>1319.5731811201492</v>
      </c>
      <c r="L217" s="4">
        <v>1732.4029417483569</v>
      </c>
      <c r="M217" s="4">
        <v>1870.2246764108252</v>
      </c>
      <c r="N217" s="4"/>
      <c r="O217" s="4"/>
      <c r="P217" s="4" t="s">
        <v>28</v>
      </c>
      <c r="Q217" s="4">
        <v>29720.754595526487</v>
      </c>
      <c r="R217" s="4">
        <v>23103.75068049867</v>
      </c>
      <c r="S217" s="4">
        <v>14088.294169024082</v>
      </c>
      <c r="T217" s="4">
        <v>6614.6054488906657</v>
      </c>
      <c r="U217" s="4">
        <v>5731.9502212243206</v>
      </c>
      <c r="V217" s="4">
        <v>5910.3125645568025</v>
      </c>
      <c r="W217" s="4">
        <v>5897.7042517335894</v>
      </c>
      <c r="X217" s="4">
        <v>6547.6892620418621</v>
      </c>
      <c r="Y217" s="4">
        <v>13758.480595289138</v>
      </c>
      <c r="Z217" s="4">
        <v>22168.829442818507</v>
      </c>
      <c r="AA217" s="4">
        <v>29104.369421372397</v>
      </c>
      <c r="AB217" s="4">
        <v>31419.774563701863</v>
      </c>
    </row>
    <row r="218" spans="1:28" x14ac:dyDescent="0.25">
      <c r="A218" s="4" t="s">
        <v>29</v>
      </c>
      <c r="B218" s="4">
        <v>1271.4053851822794</v>
      </c>
      <c r="C218" s="4">
        <v>951.68223742457872</v>
      </c>
      <c r="D218" s="4">
        <v>526.66026030321882</v>
      </c>
      <c r="E218" s="4">
        <v>246.01805829950575</v>
      </c>
      <c r="F218" s="4">
        <v>274.50791035668789</v>
      </c>
      <c r="G218" s="4">
        <v>286.17157478660454</v>
      </c>
      <c r="H218" s="4">
        <v>283.77706430003178</v>
      </c>
      <c r="I218" s="4">
        <v>262.87893149118793</v>
      </c>
      <c r="J218" s="4">
        <v>515.95768958946906</v>
      </c>
      <c r="K218" s="4">
        <v>903.55298792549945</v>
      </c>
      <c r="L218" s="4">
        <v>1235.3001735618061</v>
      </c>
      <c r="M218" s="4">
        <v>1335.174724345846</v>
      </c>
      <c r="N218" s="4"/>
      <c r="O218" s="4"/>
      <c r="P218" s="4" t="s">
        <v>29</v>
      </c>
      <c r="Q218" s="4">
        <v>21359.610471062293</v>
      </c>
      <c r="R218" s="4">
        <v>15988.261588732921</v>
      </c>
      <c r="S218" s="4">
        <v>8847.8923730940769</v>
      </c>
      <c r="T218" s="4">
        <v>4133.1033794316963</v>
      </c>
      <c r="U218" s="4">
        <v>4611.7328939923564</v>
      </c>
      <c r="V218" s="4">
        <v>4807.6824564149556</v>
      </c>
      <c r="W218" s="4">
        <v>4767.4546802405339</v>
      </c>
      <c r="X218" s="4">
        <v>4416.3660490519578</v>
      </c>
      <c r="Y218" s="4">
        <v>8668.089185103081</v>
      </c>
      <c r="Z218" s="4">
        <v>15179.690197148389</v>
      </c>
      <c r="AA218" s="4">
        <v>20753.042915838341</v>
      </c>
      <c r="AB218" s="4">
        <v>22430.935369010214</v>
      </c>
    </row>
    <row r="219" spans="1:28" x14ac:dyDescent="0.25">
      <c r="A219" s="4" t="s">
        <v>30</v>
      </c>
      <c r="B219" s="4">
        <v>395.6596443197447</v>
      </c>
      <c r="C219" s="4">
        <v>408.38005689721626</v>
      </c>
      <c r="D219" s="4">
        <v>211.03401693666092</v>
      </c>
      <c r="E219" s="4">
        <v>154.66219683327745</v>
      </c>
      <c r="F219" s="4">
        <v>185.68526164646096</v>
      </c>
      <c r="G219" s="4">
        <v>198.3731099116994</v>
      </c>
      <c r="H219" s="4">
        <v>192.93608864916754</v>
      </c>
      <c r="I219" s="4">
        <v>166.45357780463556</v>
      </c>
      <c r="J219" s="4">
        <v>206.90789533064935</v>
      </c>
      <c r="K219" s="4">
        <v>372.33276022581924</v>
      </c>
      <c r="L219" s="4">
        <v>373.77932631183154</v>
      </c>
      <c r="M219" s="4">
        <v>293.22998275222187</v>
      </c>
      <c r="N219" s="4"/>
      <c r="O219" s="4"/>
      <c r="P219" s="4" t="s">
        <v>30</v>
      </c>
      <c r="Q219" s="4">
        <v>6647.0820245717114</v>
      </c>
      <c r="R219" s="4">
        <v>6860.7849558732332</v>
      </c>
      <c r="S219" s="4">
        <v>3545.3714845359036</v>
      </c>
      <c r="T219" s="4">
        <v>2598.324906799061</v>
      </c>
      <c r="U219" s="4">
        <v>3119.5123956605444</v>
      </c>
      <c r="V219" s="4">
        <v>3332.66824651655</v>
      </c>
      <c r="W219" s="4">
        <v>3241.3262893060146</v>
      </c>
      <c r="X219" s="4">
        <v>2796.4201071178773</v>
      </c>
      <c r="Y219" s="4">
        <v>3476.0526415549093</v>
      </c>
      <c r="Z219" s="4">
        <v>6255.1903717937639</v>
      </c>
      <c r="AA219" s="4">
        <v>6279.49268203877</v>
      </c>
      <c r="AB219" s="4">
        <v>4926.2637102373274</v>
      </c>
    </row>
    <row r="220" spans="1:28" x14ac:dyDescent="0.25">
      <c r="A220" s="4" t="s">
        <v>31</v>
      </c>
      <c r="B220" s="4">
        <v>0</v>
      </c>
      <c r="C220" s="4">
        <v>0</v>
      </c>
      <c r="D220" s="4">
        <v>0</v>
      </c>
      <c r="E220" s="4">
        <v>16.734002458837804</v>
      </c>
      <c r="F220" s="4">
        <v>51.854842246115041</v>
      </c>
      <c r="G220" s="4">
        <v>67.022583724859857</v>
      </c>
      <c r="H220" s="4">
        <v>54.222875034138042</v>
      </c>
      <c r="I220" s="4">
        <v>17.619213645325306</v>
      </c>
      <c r="J220" s="4">
        <v>0</v>
      </c>
      <c r="K220" s="4">
        <v>0</v>
      </c>
      <c r="L220" s="4">
        <v>0</v>
      </c>
      <c r="M220" s="4">
        <v>0</v>
      </c>
      <c r="N220" s="4"/>
      <c r="O220" s="4"/>
      <c r="P220" s="4" t="s">
        <v>31</v>
      </c>
      <c r="Q220" s="4">
        <v>0</v>
      </c>
      <c r="R220" s="4">
        <v>0</v>
      </c>
      <c r="S220" s="4">
        <v>0</v>
      </c>
      <c r="T220" s="4">
        <v>281.13124130847507</v>
      </c>
      <c r="U220" s="4">
        <v>871.16134973473277</v>
      </c>
      <c r="V220" s="4">
        <v>1125.9794065776457</v>
      </c>
      <c r="W220" s="4">
        <v>910.94430057351906</v>
      </c>
      <c r="X220" s="4">
        <v>296.00278924146511</v>
      </c>
      <c r="Y220" s="4">
        <v>0</v>
      </c>
      <c r="Z220" s="4">
        <v>0</v>
      </c>
      <c r="AA220" s="4">
        <v>0</v>
      </c>
      <c r="AB220" s="4">
        <v>0</v>
      </c>
    </row>
    <row r="221" spans="1:28" x14ac:dyDescent="0.25">
      <c r="A221" s="4" t="s">
        <v>32</v>
      </c>
      <c r="B221" s="4">
        <v>0</v>
      </c>
      <c r="C221" s="4">
        <v>0</v>
      </c>
      <c r="D221" s="4">
        <v>0</v>
      </c>
      <c r="E221" s="4">
        <v>0</v>
      </c>
      <c r="F221" s="4">
        <v>0</v>
      </c>
      <c r="G221" s="4">
        <v>0</v>
      </c>
      <c r="H221" s="4">
        <v>0</v>
      </c>
      <c r="I221" s="4">
        <v>0</v>
      </c>
      <c r="J221" s="4">
        <v>0</v>
      </c>
      <c r="K221" s="4">
        <v>0</v>
      </c>
      <c r="L221" s="4">
        <v>0</v>
      </c>
      <c r="M221" s="4">
        <v>0</v>
      </c>
      <c r="N221" s="4"/>
      <c r="O221" s="4"/>
      <c r="P221" s="4" t="s">
        <v>32</v>
      </c>
      <c r="Q221" s="4">
        <v>0</v>
      </c>
      <c r="R221" s="4">
        <v>0</v>
      </c>
      <c r="S221" s="4">
        <v>0</v>
      </c>
      <c r="T221" s="4">
        <v>0</v>
      </c>
      <c r="U221" s="4">
        <v>0</v>
      </c>
      <c r="V221" s="4">
        <v>0</v>
      </c>
      <c r="W221" s="4">
        <v>0</v>
      </c>
      <c r="X221" s="4">
        <v>0</v>
      </c>
      <c r="Y221" s="4">
        <v>0</v>
      </c>
      <c r="Z221" s="4">
        <v>0</v>
      </c>
      <c r="AA221" s="4">
        <v>0</v>
      </c>
      <c r="AB221" s="4">
        <v>0</v>
      </c>
    </row>
    <row r="222" spans="1:28" x14ac:dyDescent="0.25">
      <c r="A222" s="4" t="s">
        <v>33</v>
      </c>
      <c r="B222" s="4">
        <v>0</v>
      </c>
      <c r="C222" s="4">
        <v>0</v>
      </c>
      <c r="D222" s="4">
        <v>0</v>
      </c>
      <c r="E222" s="4">
        <v>0</v>
      </c>
      <c r="F222" s="4">
        <v>0</v>
      </c>
      <c r="G222" s="4">
        <v>0</v>
      </c>
      <c r="H222" s="4">
        <v>0</v>
      </c>
      <c r="I222" s="4">
        <v>0</v>
      </c>
      <c r="J222" s="4">
        <v>0</v>
      </c>
      <c r="K222" s="4">
        <v>0</v>
      </c>
      <c r="L222" s="4">
        <v>0</v>
      </c>
      <c r="M222" s="4">
        <v>0</v>
      </c>
      <c r="N222" s="4"/>
      <c r="O222" s="4"/>
      <c r="P222" s="4" t="s">
        <v>33</v>
      </c>
      <c r="Q222" s="4">
        <v>0</v>
      </c>
      <c r="R222" s="4">
        <v>0</v>
      </c>
      <c r="S222" s="4">
        <v>0</v>
      </c>
      <c r="T222" s="4">
        <v>0</v>
      </c>
      <c r="U222" s="4">
        <v>0</v>
      </c>
      <c r="V222" s="4">
        <v>0</v>
      </c>
      <c r="W222" s="4">
        <v>0</v>
      </c>
      <c r="X222" s="4">
        <v>0</v>
      </c>
      <c r="Y222" s="4">
        <v>0</v>
      </c>
      <c r="Z222" s="4">
        <v>0</v>
      </c>
      <c r="AA222" s="4">
        <v>0</v>
      </c>
      <c r="AB222" s="4">
        <v>0</v>
      </c>
    </row>
    <row r="223" spans="1:28" x14ac:dyDescent="0.25">
      <c r="A223" s="4" t="s">
        <v>34</v>
      </c>
      <c r="B223" s="4">
        <v>0</v>
      </c>
      <c r="C223" s="4">
        <v>0</v>
      </c>
      <c r="D223" s="4">
        <v>0</v>
      </c>
      <c r="E223" s="4">
        <v>0</v>
      </c>
      <c r="F223" s="4">
        <v>0</v>
      </c>
      <c r="G223" s="4">
        <v>0</v>
      </c>
      <c r="H223" s="4">
        <v>0</v>
      </c>
      <c r="I223" s="4">
        <v>0</v>
      </c>
      <c r="J223" s="4">
        <v>0</v>
      </c>
      <c r="K223" s="4">
        <v>0</v>
      </c>
      <c r="L223" s="4">
        <v>0</v>
      </c>
      <c r="M223" s="4">
        <v>0</v>
      </c>
      <c r="N223" s="4"/>
      <c r="O223" s="4"/>
      <c r="P223" s="4" t="s">
        <v>34</v>
      </c>
      <c r="Q223" s="4">
        <v>0</v>
      </c>
      <c r="R223" s="4">
        <v>0</v>
      </c>
      <c r="S223" s="4">
        <v>0</v>
      </c>
      <c r="T223" s="4">
        <v>0</v>
      </c>
      <c r="U223" s="4">
        <v>0</v>
      </c>
      <c r="V223" s="4">
        <v>0</v>
      </c>
      <c r="W223" s="4">
        <v>0</v>
      </c>
      <c r="X223" s="4">
        <v>0</v>
      </c>
      <c r="Y223" s="4">
        <v>0</v>
      </c>
      <c r="Z223" s="4">
        <v>0</v>
      </c>
      <c r="AA223" s="4">
        <v>0</v>
      </c>
      <c r="AB223" s="4">
        <v>0</v>
      </c>
    </row>
    <row r="224" spans="1:28" x14ac:dyDescent="0.25">
      <c r="A224" s="4" t="s">
        <v>35</v>
      </c>
      <c r="B224" s="4">
        <v>0</v>
      </c>
      <c r="C224" s="4">
        <v>0</v>
      </c>
      <c r="D224" s="4">
        <v>0</v>
      </c>
      <c r="E224" s="4">
        <v>0</v>
      </c>
      <c r="F224" s="4">
        <v>0</v>
      </c>
      <c r="G224" s="4">
        <v>0</v>
      </c>
      <c r="H224" s="4">
        <v>0</v>
      </c>
      <c r="I224" s="4">
        <v>0</v>
      </c>
      <c r="J224" s="4">
        <v>0</v>
      </c>
      <c r="K224" s="4">
        <v>0</v>
      </c>
      <c r="L224" s="4">
        <v>0</v>
      </c>
      <c r="M224" s="4">
        <v>0</v>
      </c>
      <c r="N224" s="4"/>
      <c r="O224" s="4"/>
      <c r="P224" s="4" t="s">
        <v>35</v>
      </c>
      <c r="Q224" s="4">
        <v>0</v>
      </c>
      <c r="R224" s="4">
        <v>0</v>
      </c>
      <c r="S224" s="4">
        <v>0</v>
      </c>
      <c r="T224" s="4">
        <v>0</v>
      </c>
      <c r="U224" s="4">
        <v>0</v>
      </c>
      <c r="V224" s="4">
        <v>0</v>
      </c>
      <c r="W224" s="4">
        <v>0</v>
      </c>
      <c r="X224" s="4">
        <v>0</v>
      </c>
      <c r="Y224" s="4">
        <v>0</v>
      </c>
      <c r="Z224" s="4">
        <v>0</v>
      </c>
      <c r="AA224" s="4">
        <v>0</v>
      </c>
      <c r="AB224" s="4">
        <v>0</v>
      </c>
    </row>
    <row r="225" spans="1:28" x14ac:dyDescent="0.25">
      <c r="A225" s="4" t="s">
        <v>36</v>
      </c>
      <c r="B225" s="4">
        <v>0</v>
      </c>
      <c r="C225" s="4">
        <v>0</v>
      </c>
      <c r="D225" s="4">
        <v>0</v>
      </c>
      <c r="E225" s="4">
        <v>0</v>
      </c>
      <c r="F225" s="4">
        <v>0</v>
      </c>
      <c r="G225" s="4">
        <v>0</v>
      </c>
      <c r="H225" s="4">
        <v>0</v>
      </c>
      <c r="I225" s="4">
        <v>0</v>
      </c>
      <c r="J225" s="4">
        <v>0</v>
      </c>
      <c r="K225" s="4">
        <v>0</v>
      </c>
      <c r="L225" s="4">
        <v>0</v>
      </c>
      <c r="M225" s="4">
        <v>0</v>
      </c>
      <c r="N225" s="4"/>
      <c r="O225" s="4"/>
      <c r="P225" s="4" t="s">
        <v>36</v>
      </c>
      <c r="Q225" s="4">
        <v>0</v>
      </c>
      <c r="R225" s="4">
        <v>0</v>
      </c>
      <c r="S225" s="4">
        <v>0</v>
      </c>
      <c r="T225" s="4">
        <v>0</v>
      </c>
      <c r="U225" s="4">
        <v>0</v>
      </c>
      <c r="V225" s="4">
        <v>0</v>
      </c>
      <c r="W225" s="4">
        <v>0</v>
      </c>
      <c r="X225" s="4">
        <v>0</v>
      </c>
      <c r="Y225" s="4">
        <v>0</v>
      </c>
      <c r="Z225" s="4">
        <v>0</v>
      </c>
      <c r="AA225" s="4">
        <v>0</v>
      </c>
      <c r="AB225" s="4">
        <v>0</v>
      </c>
    </row>
    <row r="228" spans="1:28" x14ac:dyDescent="0.25">
      <c r="A228" s="4" t="s">
        <v>100</v>
      </c>
      <c r="B228" s="4"/>
      <c r="C228" s="4"/>
      <c r="D228" s="4"/>
      <c r="E228" s="4"/>
      <c r="F228" s="4"/>
      <c r="G228" s="4"/>
      <c r="H228" s="4"/>
      <c r="I228" s="4"/>
      <c r="J228" s="4"/>
      <c r="K228" s="4"/>
      <c r="L228" s="4"/>
      <c r="M228" s="4"/>
      <c r="N228" s="4"/>
      <c r="O228" s="4"/>
      <c r="P228" s="4" t="s">
        <v>100</v>
      </c>
      <c r="Q228" s="4"/>
      <c r="R228" s="4"/>
      <c r="S228" s="4"/>
      <c r="T228" s="4"/>
      <c r="U228" s="4"/>
      <c r="V228" s="4"/>
      <c r="W228" s="4"/>
      <c r="X228" s="4"/>
      <c r="Y228" s="4"/>
      <c r="Z228" s="4"/>
      <c r="AA228" s="4"/>
      <c r="AB228" s="4"/>
    </row>
    <row r="229" spans="1:28" x14ac:dyDescent="0.25">
      <c r="A229" s="4"/>
      <c r="B229" s="4" t="s">
        <v>1</v>
      </c>
      <c r="C229" s="4" t="s">
        <v>2</v>
      </c>
      <c r="D229" s="4" t="s">
        <v>3</v>
      </c>
      <c r="E229" s="4" t="s">
        <v>4</v>
      </c>
      <c r="F229" s="4" t="s">
        <v>5</v>
      </c>
      <c r="G229" s="4" t="s">
        <v>6</v>
      </c>
      <c r="H229" s="4" t="s">
        <v>7</v>
      </c>
      <c r="I229" s="4" t="s">
        <v>8</v>
      </c>
      <c r="J229" s="4" t="s">
        <v>9</v>
      </c>
      <c r="K229" s="4" t="s">
        <v>10</v>
      </c>
      <c r="L229" s="4" t="s">
        <v>11</v>
      </c>
      <c r="M229" s="4" t="s">
        <v>12</v>
      </c>
      <c r="N229" s="4"/>
      <c r="O229" s="4"/>
      <c r="P229" s="4"/>
      <c r="Q229" s="4" t="s">
        <v>1</v>
      </c>
      <c r="R229" s="4" t="s">
        <v>2</v>
      </c>
      <c r="S229" s="4" t="s">
        <v>3</v>
      </c>
      <c r="T229" s="4" t="s">
        <v>4</v>
      </c>
      <c r="U229" s="4" t="s">
        <v>5</v>
      </c>
      <c r="V229" s="4" t="s">
        <v>6</v>
      </c>
      <c r="W229" s="4" t="s">
        <v>7</v>
      </c>
      <c r="X229" s="4" t="s">
        <v>8</v>
      </c>
      <c r="Y229" s="4" t="s">
        <v>9</v>
      </c>
      <c r="Z229" s="4" t="s">
        <v>10</v>
      </c>
      <c r="AA229" s="4" t="s">
        <v>11</v>
      </c>
      <c r="AB229" s="4" t="s">
        <v>12</v>
      </c>
    </row>
    <row r="230" spans="1:28" x14ac:dyDescent="0.25">
      <c r="A230" s="4" t="s">
        <v>13</v>
      </c>
      <c r="B230" s="4">
        <v>0</v>
      </c>
      <c r="C230" s="4">
        <v>0</v>
      </c>
      <c r="D230" s="4">
        <v>0</v>
      </c>
      <c r="E230" s="4">
        <v>0</v>
      </c>
      <c r="F230" s="4">
        <v>0</v>
      </c>
      <c r="G230" s="4">
        <v>0</v>
      </c>
      <c r="H230" s="4">
        <v>0</v>
      </c>
      <c r="I230" s="4">
        <v>0</v>
      </c>
      <c r="J230" s="4">
        <v>0</v>
      </c>
      <c r="K230" s="4">
        <v>0</v>
      </c>
      <c r="L230" s="4">
        <v>0</v>
      </c>
      <c r="M230" s="4">
        <v>0</v>
      </c>
      <c r="N230" s="4"/>
      <c r="O230" s="4"/>
      <c r="P230" s="4" t="s">
        <v>13</v>
      </c>
      <c r="Q230" s="4">
        <v>0</v>
      </c>
      <c r="R230" s="4">
        <v>0</v>
      </c>
      <c r="S230" s="4">
        <v>0</v>
      </c>
      <c r="T230" s="4">
        <v>0</v>
      </c>
      <c r="U230" s="4">
        <v>0</v>
      </c>
      <c r="V230" s="4">
        <v>0</v>
      </c>
      <c r="W230" s="4">
        <v>0</v>
      </c>
      <c r="X230" s="4">
        <v>0</v>
      </c>
      <c r="Y230" s="4">
        <v>0</v>
      </c>
      <c r="Z230" s="4">
        <v>0</v>
      </c>
      <c r="AA230" s="4">
        <v>0</v>
      </c>
      <c r="AB230" s="4">
        <v>0</v>
      </c>
    </row>
    <row r="231" spans="1:28" x14ac:dyDescent="0.25">
      <c r="A231" s="4" t="s">
        <v>14</v>
      </c>
      <c r="B231" s="4">
        <v>0</v>
      </c>
      <c r="C231" s="4">
        <v>0</v>
      </c>
      <c r="D231" s="4">
        <v>0</v>
      </c>
      <c r="E231" s="4">
        <v>0</v>
      </c>
      <c r="F231" s="4">
        <v>0</v>
      </c>
      <c r="G231" s="4">
        <v>0</v>
      </c>
      <c r="H231" s="4">
        <v>0</v>
      </c>
      <c r="I231" s="4">
        <v>0</v>
      </c>
      <c r="J231" s="4">
        <v>0</v>
      </c>
      <c r="K231" s="4">
        <v>0</v>
      </c>
      <c r="L231" s="4">
        <v>0</v>
      </c>
      <c r="M231" s="4">
        <v>0</v>
      </c>
      <c r="N231" s="4"/>
      <c r="O231" s="4"/>
      <c r="P231" s="4" t="s">
        <v>14</v>
      </c>
      <c r="Q231" s="4">
        <v>0</v>
      </c>
      <c r="R231" s="4">
        <v>0</v>
      </c>
      <c r="S231" s="4">
        <v>0</v>
      </c>
      <c r="T231" s="4">
        <v>0</v>
      </c>
      <c r="U231" s="4">
        <v>0</v>
      </c>
      <c r="V231" s="4">
        <v>0</v>
      </c>
      <c r="W231" s="4">
        <v>0</v>
      </c>
      <c r="X231" s="4">
        <v>0</v>
      </c>
      <c r="Y231" s="4">
        <v>0</v>
      </c>
      <c r="Z231" s="4">
        <v>0</v>
      </c>
      <c r="AA231" s="4">
        <v>0</v>
      </c>
      <c r="AB231" s="4">
        <v>0</v>
      </c>
    </row>
    <row r="232" spans="1:28" x14ac:dyDescent="0.25">
      <c r="A232" s="4" t="s">
        <v>15</v>
      </c>
      <c r="B232" s="4">
        <v>0</v>
      </c>
      <c r="C232" s="4">
        <v>0</v>
      </c>
      <c r="D232" s="4">
        <v>0</v>
      </c>
      <c r="E232" s="4">
        <v>0</v>
      </c>
      <c r="F232" s="4">
        <v>0</v>
      </c>
      <c r="G232" s="4">
        <v>0</v>
      </c>
      <c r="H232" s="4">
        <v>0</v>
      </c>
      <c r="I232" s="4">
        <v>0</v>
      </c>
      <c r="J232" s="4">
        <v>0</v>
      </c>
      <c r="K232" s="4">
        <v>0</v>
      </c>
      <c r="L232" s="4">
        <v>0</v>
      </c>
      <c r="M232" s="4">
        <v>0</v>
      </c>
      <c r="N232" s="4"/>
      <c r="O232" s="4"/>
      <c r="P232" s="4" t="s">
        <v>15</v>
      </c>
      <c r="Q232" s="4">
        <v>0</v>
      </c>
      <c r="R232" s="4">
        <v>0</v>
      </c>
      <c r="S232" s="4">
        <v>0</v>
      </c>
      <c r="T232" s="4">
        <v>0</v>
      </c>
      <c r="U232" s="4">
        <v>0</v>
      </c>
      <c r="V232" s="4">
        <v>0</v>
      </c>
      <c r="W232" s="4">
        <v>0</v>
      </c>
      <c r="X232" s="4">
        <v>0</v>
      </c>
      <c r="Y232" s="4">
        <v>0</v>
      </c>
      <c r="Z232" s="4">
        <v>0</v>
      </c>
      <c r="AA232" s="4">
        <v>0</v>
      </c>
      <c r="AB232" s="4">
        <v>0</v>
      </c>
    </row>
    <row r="233" spans="1:28" x14ac:dyDescent="0.25">
      <c r="A233" s="4" t="s">
        <v>16</v>
      </c>
      <c r="B233" s="4">
        <v>0</v>
      </c>
      <c r="C233" s="4">
        <v>0</v>
      </c>
      <c r="D233" s="4">
        <v>0</v>
      </c>
      <c r="E233" s="4">
        <v>0</v>
      </c>
      <c r="F233" s="4">
        <v>0</v>
      </c>
      <c r="G233" s="4">
        <v>0</v>
      </c>
      <c r="H233" s="4">
        <v>0</v>
      </c>
      <c r="I233" s="4">
        <v>0</v>
      </c>
      <c r="J233" s="4">
        <v>0</v>
      </c>
      <c r="K233" s="4">
        <v>0</v>
      </c>
      <c r="L233" s="4">
        <v>0</v>
      </c>
      <c r="M233" s="4">
        <v>0</v>
      </c>
      <c r="N233" s="4"/>
      <c r="O233" s="4"/>
      <c r="P233" s="4" t="s">
        <v>16</v>
      </c>
      <c r="Q233" s="4">
        <v>0</v>
      </c>
      <c r="R233" s="4">
        <v>0</v>
      </c>
      <c r="S233" s="4">
        <v>0</v>
      </c>
      <c r="T233" s="4">
        <v>0</v>
      </c>
      <c r="U233" s="4">
        <v>0</v>
      </c>
      <c r="V233" s="4">
        <v>0</v>
      </c>
      <c r="W233" s="4">
        <v>0</v>
      </c>
      <c r="X233" s="4">
        <v>0</v>
      </c>
      <c r="Y233" s="4">
        <v>0</v>
      </c>
      <c r="Z233" s="4">
        <v>0</v>
      </c>
      <c r="AA233" s="4">
        <v>0</v>
      </c>
      <c r="AB233" s="4">
        <v>0</v>
      </c>
    </row>
    <row r="234" spans="1:28" x14ac:dyDescent="0.25">
      <c r="A234" s="4" t="s">
        <v>17</v>
      </c>
      <c r="B234" s="4">
        <v>0</v>
      </c>
      <c r="C234" s="4">
        <v>0</v>
      </c>
      <c r="D234" s="4">
        <v>0</v>
      </c>
      <c r="E234" s="4">
        <v>0</v>
      </c>
      <c r="F234" s="4">
        <v>0</v>
      </c>
      <c r="G234" s="4">
        <v>0</v>
      </c>
      <c r="H234" s="4">
        <v>0</v>
      </c>
      <c r="I234" s="4">
        <v>0</v>
      </c>
      <c r="J234" s="4">
        <v>0</v>
      </c>
      <c r="K234" s="4">
        <v>0</v>
      </c>
      <c r="L234" s="4">
        <v>0</v>
      </c>
      <c r="M234" s="4">
        <v>0</v>
      </c>
      <c r="N234" s="4"/>
      <c r="O234" s="4"/>
      <c r="P234" s="4" t="s">
        <v>17</v>
      </c>
      <c r="Q234" s="4">
        <v>0</v>
      </c>
      <c r="R234" s="4">
        <v>0</v>
      </c>
      <c r="S234" s="4">
        <v>0</v>
      </c>
      <c r="T234" s="4">
        <v>0</v>
      </c>
      <c r="U234" s="4">
        <v>0</v>
      </c>
      <c r="V234" s="4">
        <v>0</v>
      </c>
      <c r="W234" s="4">
        <v>0</v>
      </c>
      <c r="X234" s="4">
        <v>0</v>
      </c>
      <c r="Y234" s="4">
        <v>0</v>
      </c>
      <c r="Z234" s="4">
        <v>0</v>
      </c>
      <c r="AA234" s="4">
        <v>0</v>
      </c>
      <c r="AB234" s="4">
        <v>0</v>
      </c>
    </row>
    <row r="235" spans="1:28" x14ac:dyDescent="0.25">
      <c r="A235" s="4" t="s">
        <v>18</v>
      </c>
      <c r="B235" s="4">
        <v>0</v>
      </c>
      <c r="C235" s="4">
        <v>0</v>
      </c>
      <c r="D235" s="4">
        <v>0</v>
      </c>
      <c r="E235" s="4">
        <v>0</v>
      </c>
      <c r="F235" s="4">
        <v>0</v>
      </c>
      <c r="G235" s="4">
        <v>0</v>
      </c>
      <c r="H235" s="4">
        <v>0</v>
      </c>
      <c r="I235" s="4">
        <v>0</v>
      </c>
      <c r="J235" s="4">
        <v>0</v>
      </c>
      <c r="K235" s="4">
        <v>0</v>
      </c>
      <c r="L235" s="4">
        <v>0</v>
      </c>
      <c r="M235" s="4">
        <v>0</v>
      </c>
      <c r="N235" s="4"/>
      <c r="O235" s="4"/>
      <c r="P235" s="4" t="s">
        <v>18</v>
      </c>
      <c r="Q235" s="4">
        <v>0</v>
      </c>
      <c r="R235" s="4">
        <v>0</v>
      </c>
      <c r="S235" s="4">
        <v>0</v>
      </c>
      <c r="T235" s="4">
        <v>0</v>
      </c>
      <c r="U235" s="4">
        <v>0</v>
      </c>
      <c r="V235" s="4">
        <v>0</v>
      </c>
      <c r="W235" s="4">
        <v>0</v>
      </c>
      <c r="X235" s="4">
        <v>0</v>
      </c>
      <c r="Y235" s="4">
        <v>0</v>
      </c>
      <c r="Z235" s="4">
        <v>0</v>
      </c>
      <c r="AA235" s="4">
        <v>0</v>
      </c>
      <c r="AB235" s="4">
        <v>0</v>
      </c>
    </row>
    <row r="236" spans="1:28" x14ac:dyDescent="0.25">
      <c r="A236" s="4" t="s">
        <v>19</v>
      </c>
      <c r="B236" s="4">
        <v>0</v>
      </c>
      <c r="C236" s="4">
        <v>0</v>
      </c>
      <c r="D236" s="4">
        <v>0</v>
      </c>
      <c r="E236" s="4">
        <v>0</v>
      </c>
      <c r="F236" s="4">
        <v>0</v>
      </c>
      <c r="G236" s="4">
        <v>0</v>
      </c>
      <c r="H236" s="4">
        <v>0</v>
      </c>
      <c r="I236" s="4">
        <v>0</v>
      </c>
      <c r="J236" s="4">
        <v>0</v>
      </c>
      <c r="K236" s="4">
        <v>0</v>
      </c>
      <c r="L236" s="4">
        <v>0</v>
      </c>
      <c r="M236" s="4">
        <v>0</v>
      </c>
      <c r="N236" s="4"/>
      <c r="O236" s="4"/>
      <c r="P236" s="4" t="s">
        <v>19</v>
      </c>
      <c r="Q236" s="4">
        <v>0</v>
      </c>
      <c r="R236" s="4">
        <v>0</v>
      </c>
      <c r="S236" s="4">
        <v>0</v>
      </c>
      <c r="T236" s="4">
        <v>0</v>
      </c>
      <c r="U236" s="4">
        <v>0</v>
      </c>
      <c r="V236" s="4">
        <v>0</v>
      </c>
      <c r="W236" s="4">
        <v>0</v>
      </c>
      <c r="X236" s="4">
        <v>0</v>
      </c>
      <c r="Y236" s="4">
        <v>0</v>
      </c>
      <c r="Z236" s="4">
        <v>0</v>
      </c>
      <c r="AA236" s="4">
        <v>0</v>
      </c>
      <c r="AB236" s="4">
        <v>0</v>
      </c>
    </row>
    <row r="237" spans="1:28" x14ac:dyDescent="0.25">
      <c r="A237" s="4" t="s">
        <v>20</v>
      </c>
      <c r="B237" s="4">
        <v>0</v>
      </c>
      <c r="C237" s="4">
        <v>0</v>
      </c>
      <c r="D237" s="4">
        <v>0</v>
      </c>
      <c r="E237" s="4">
        <v>0</v>
      </c>
      <c r="F237" s="4">
        <v>0</v>
      </c>
      <c r="G237" s="4">
        <v>0</v>
      </c>
      <c r="H237" s="4">
        <v>0</v>
      </c>
      <c r="I237" s="4">
        <v>0</v>
      </c>
      <c r="J237" s="4">
        <v>0</v>
      </c>
      <c r="K237" s="4">
        <v>0</v>
      </c>
      <c r="L237" s="4">
        <v>0</v>
      </c>
      <c r="M237" s="4">
        <v>0</v>
      </c>
      <c r="N237" s="4"/>
      <c r="O237" s="4"/>
      <c r="P237" s="4" t="s">
        <v>20</v>
      </c>
      <c r="Q237" s="4">
        <v>0</v>
      </c>
      <c r="R237" s="4">
        <v>0</v>
      </c>
      <c r="S237" s="4">
        <v>0</v>
      </c>
      <c r="T237" s="4">
        <v>0</v>
      </c>
      <c r="U237" s="4">
        <v>0</v>
      </c>
      <c r="V237" s="4">
        <v>0</v>
      </c>
      <c r="W237" s="4">
        <v>0</v>
      </c>
      <c r="X237" s="4">
        <v>0</v>
      </c>
      <c r="Y237" s="4">
        <v>0</v>
      </c>
      <c r="Z237" s="4">
        <v>0</v>
      </c>
      <c r="AA237" s="4">
        <v>0</v>
      </c>
      <c r="AB237" s="4">
        <v>0</v>
      </c>
    </row>
    <row r="238" spans="1:28" x14ac:dyDescent="0.25">
      <c r="A238" s="4" t="s">
        <v>21</v>
      </c>
      <c r="B238" s="4">
        <v>0</v>
      </c>
      <c r="C238" s="4">
        <v>0</v>
      </c>
      <c r="D238" s="4">
        <v>0</v>
      </c>
      <c r="E238" s="4">
        <v>0</v>
      </c>
      <c r="F238" s="4">
        <v>0</v>
      </c>
      <c r="G238" s="4">
        <v>0</v>
      </c>
      <c r="H238" s="4">
        <v>0</v>
      </c>
      <c r="I238" s="4">
        <v>0</v>
      </c>
      <c r="J238" s="4">
        <v>0</v>
      </c>
      <c r="K238" s="4">
        <v>0</v>
      </c>
      <c r="L238" s="4">
        <v>0</v>
      </c>
      <c r="M238" s="4">
        <v>0</v>
      </c>
      <c r="N238" s="4"/>
      <c r="O238" s="4"/>
      <c r="P238" s="4" t="s">
        <v>21</v>
      </c>
      <c r="Q238" s="4">
        <v>0</v>
      </c>
      <c r="R238" s="4">
        <v>0</v>
      </c>
      <c r="S238" s="4">
        <v>0</v>
      </c>
      <c r="T238" s="4">
        <v>0</v>
      </c>
      <c r="U238" s="4">
        <v>0</v>
      </c>
      <c r="V238" s="4">
        <v>0</v>
      </c>
      <c r="W238" s="4">
        <v>0</v>
      </c>
      <c r="X238" s="4">
        <v>0</v>
      </c>
      <c r="Y238" s="4">
        <v>0</v>
      </c>
      <c r="Z238" s="4">
        <v>0</v>
      </c>
      <c r="AA238" s="4">
        <v>0</v>
      </c>
      <c r="AB238" s="4">
        <v>0</v>
      </c>
    </row>
    <row r="239" spans="1:28" x14ac:dyDescent="0.25">
      <c r="A239" s="4" t="s">
        <v>22</v>
      </c>
      <c r="B239" s="4">
        <v>0</v>
      </c>
      <c r="C239" s="4">
        <v>0</v>
      </c>
      <c r="D239" s="4">
        <v>0</v>
      </c>
      <c r="E239" s="4">
        <v>0</v>
      </c>
      <c r="F239" s="4">
        <v>0</v>
      </c>
      <c r="G239" s="4">
        <v>0</v>
      </c>
      <c r="H239" s="4">
        <v>0</v>
      </c>
      <c r="I239" s="4">
        <v>0</v>
      </c>
      <c r="J239" s="4">
        <v>0</v>
      </c>
      <c r="K239" s="4">
        <v>0</v>
      </c>
      <c r="L239" s="4">
        <v>0</v>
      </c>
      <c r="M239" s="4">
        <v>0</v>
      </c>
      <c r="N239" s="4"/>
      <c r="O239" s="4"/>
      <c r="P239" s="4" t="s">
        <v>22</v>
      </c>
      <c r="Q239" s="4">
        <v>0</v>
      </c>
      <c r="R239" s="4">
        <v>0</v>
      </c>
      <c r="S239" s="4">
        <v>0</v>
      </c>
      <c r="T239" s="4">
        <v>0</v>
      </c>
      <c r="U239" s="4">
        <v>0</v>
      </c>
      <c r="V239" s="4">
        <v>0</v>
      </c>
      <c r="W239" s="4">
        <v>0</v>
      </c>
      <c r="X239" s="4">
        <v>0</v>
      </c>
      <c r="Y239" s="4">
        <v>0</v>
      </c>
      <c r="Z239" s="4">
        <v>0</v>
      </c>
      <c r="AA239" s="4">
        <v>0</v>
      </c>
      <c r="AB239" s="4">
        <v>0</v>
      </c>
    </row>
    <row r="240" spans="1:28" x14ac:dyDescent="0.25">
      <c r="A240" s="4" t="s">
        <v>23</v>
      </c>
      <c r="B240" s="4">
        <v>0</v>
      </c>
      <c r="C240" s="4">
        <v>0</v>
      </c>
      <c r="D240" s="4">
        <v>0</v>
      </c>
      <c r="E240" s="4">
        <v>0</v>
      </c>
      <c r="F240" s="4">
        <v>0</v>
      </c>
      <c r="G240" s="4">
        <v>0</v>
      </c>
      <c r="H240" s="4">
        <v>0</v>
      </c>
      <c r="I240" s="4">
        <v>0</v>
      </c>
      <c r="J240" s="4">
        <v>0</v>
      </c>
      <c r="K240" s="4">
        <v>0</v>
      </c>
      <c r="L240" s="4">
        <v>0</v>
      </c>
      <c r="M240" s="4">
        <v>0</v>
      </c>
      <c r="N240" s="4"/>
      <c r="O240" s="4"/>
      <c r="P240" s="4" t="s">
        <v>23</v>
      </c>
      <c r="Q240" s="4">
        <v>0</v>
      </c>
      <c r="R240" s="4">
        <v>0</v>
      </c>
      <c r="S240" s="4">
        <v>0</v>
      </c>
      <c r="T240" s="4">
        <v>0</v>
      </c>
      <c r="U240" s="4">
        <v>0</v>
      </c>
      <c r="V240" s="4">
        <v>0</v>
      </c>
      <c r="W240" s="4">
        <v>0</v>
      </c>
      <c r="X240" s="4">
        <v>0</v>
      </c>
      <c r="Y240" s="4">
        <v>0</v>
      </c>
      <c r="Z240" s="4">
        <v>0</v>
      </c>
      <c r="AA240" s="4">
        <v>0</v>
      </c>
      <c r="AB240" s="4">
        <v>0</v>
      </c>
    </row>
    <row r="241" spans="1:28" x14ac:dyDescent="0.25">
      <c r="A241" s="4" t="s">
        <v>24</v>
      </c>
      <c r="B241" s="4">
        <v>0</v>
      </c>
      <c r="C241" s="4">
        <v>0</v>
      </c>
      <c r="D241" s="4">
        <v>0</v>
      </c>
      <c r="E241" s="4">
        <v>0</v>
      </c>
      <c r="F241" s="4">
        <v>0</v>
      </c>
      <c r="G241" s="4">
        <v>0</v>
      </c>
      <c r="H241" s="4">
        <v>0</v>
      </c>
      <c r="I241" s="4">
        <v>0</v>
      </c>
      <c r="J241" s="4">
        <v>0</v>
      </c>
      <c r="K241" s="4">
        <v>0</v>
      </c>
      <c r="L241" s="4">
        <v>0</v>
      </c>
      <c r="M241" s="4">
        <v>0</v>
      </c>
      <c r="N241" s="4"/>
      <c r="O241" s="4"/>
      <c r="P241" s="4" t="s">
        <v>24</v>
      </c>
      <c r="Q241" s="4">
        <v>0</v>
      </c>
      <c r="R241" s="4">
        <v>0</v>
      </c>
      <c r="S241" s="4">
        <v>0</v>
      </c>
      <c r="T241" s="4">
        <v>0</v>
      </c>
      <c r="U241" s="4">
        <v>0</v>
      </c>
      <c r="V241" s="4">
        <v>0</v>
      </c>
      <c r="W241" s="4">
        <v>0</v>
      </c>
      <c r="X241" s="4">
        <v>0</v>
      </c>
      <c r="Y241" s="4">
        <v>0</v>
      </c>
      <c r="Z241" s="4">
        <v>0</v>
      </c>
      <c r="AA241" s="4">
        <v>0</v>
      </c>
      <c r="AB241" s="4">
        <v>0</v>
      </c>
    </row>
    <row r="242" spans="1:28" x14ac:dyDescent="0.25">
      <c r="A242" s="4" t="s">
        <v>25</v>
      </c>
      <c r="B242" s="4">
        <v>0</v>
      </c>
      <c r="C242" s="4">
        <v>0</v>
      </c>
      <c r="D242" s="4">
        <v>0</v>
      </c>
      <c r="E242" s="4">
        <v>0</v>
      </c>
      <c r="F242" s="4">
        <v>0</v>
      </c>
      <c r="G242" s="4">
        <v>0</v>
      </c>
      <c r="H242" s="4">
        <v>0</v>
      </c>
      <c r="I242" s="4">
        <v>0</v>
      </c>
      <c r="J242" s="4">
        <v>0</v>
      </c>
      <c r="K242" s="4">
        <v>0</v>
      </c>
      <c r="L242" s="4">
        <v>0</v>
      </c>
      <c r="M242" s="4">
        <v>0</v>
      </c>
      <c r="N242" s="4"/>
      <c r="O242" s="4"/>
      <c r="P242" s="4" t="s">
        <v>25</v>
      </c>
      <c r="Q242" s="4">
        <v>0</v>
      </c>
      <c r="R242" s="4">
        <v>0</v>
      </c>
      <c r="S242" s="4">
        <v>0</v>
      </c>
      <c r="T242" s="4">
        <v>0</v>
      </c>
      <c r="U242" s="4">
        <v>0</v>
      </c>
      <c r="V242" s="4">
        <v>0</v>
      </c>
      <c r="W242" s="4">
        <v>0</v>
      </c>
      <c r="X242" s="4">
        <v>0</v>
      </c>
      <c r="Y242" s="4">
        <v>0</v>
      </c>
      <c r="Z242" s="4">
        <v>0</v>
      </c>
      <c r="AA242" s="4">
        <v>0</v>
      </c>
      <c r="AB242" s="4">
        <v>0</v>
      </c>
    </row>
    <row r="243" spans="1:28" x14ac:dyDescent="0.25">
      <c r="A243" s="4" t="s">
        <v>26</v>
      </c>
      <c r="B243" s="4">
        <v>0</v>
      </c>
      <c r="C243" s="4">
        <v>0</v>
      </c>
      <c r="D243" s="4">
        <v>0</v>
      </c>
      <c r="E243" s="4">
        <v>0</v>
      </c>
      <c r="F243" s="4">
        <v>0</v>
      </c>
      <c r="G243" s="4">
        <v>0</v>
      </c>
      <c r="H243" s="4">
        <v>0</v>
      </c>
      <c r="I243" s="4">
        <v>0</v>
      </c>
      <c r="J243" s="4">
        <v>0</v>
      </c>
      <c r="K243" s="4">
        <v>0</v>
      </c>
      <c r="L243" s="4">
        <v>0</v>
      </c>
      <c r="M243" s="4">
        <v>0</v>
      </c>
      <c r="N243" s="4"/>
      <c r="O243" s="4"/>
      <c r="P243" s="4" t="s">
        <v>26</v>
      </c>
      <c r="Q243" s="4">
        <v>0</v>
      </c>
      <c r="R243" s="4">
        <v>0</v>
      </c>
      <c r="S243" s="4">
        <v>0</v>
      </c>
      <c r="T243" s="4">
        <v>0</v>
      </c>
      <c r="U243" s="4">
        <v>0</v>
      </c>
      <c r="V243" s="4">
        <v>0</v>
      </c>
      <c r="W243" s="4">
        <v>0</v>
      </c>
      <c r="X243" s="4">
        <v>0</v>
      </c>
      <c r="Y243" s="4">
        <v>0</v>
      </c>
      <c r="Z243" s="4">
        <v>0</v>
      </c>
      <c r="AA243" s="4">
        <v>0</v>
      </c>
      <c r="AB243" s="4">
        <v>0</v>
      </c>
    </row>
    <row r="244" spans="1:28" x14ac:dyDescent="0.25">
      <c r="A244" s="4" t="s">
        <v>27</v>
      </c>
      <c r="B244" s="4">
        <v>0</v>
      </c>
      <c r="C244" s="4">
        <v>0</v>
      </c>
      <c r="D244" s="4">
        <v>0</v>
      </c>
      <c r="E244" s="4">
        <v>0</v>
      </c>
      <c r="F244" s="4">
        <v>0</v>
      </c>
      <c r="G244" s="4">
        <v>0</v>
      </c>
      <c r="H244" s="4">
        <v>0</v>
      </c>
      <c r="I244" s="4">
        <v>0</v>
      </c>
      <c r="J244" s="4">
        <v>0</v>
      </c>
      <c r="K244" s="4">
        <v>0</v>
      </c>
      <c r="L244" s="4">
        <v>0</v>
      </c>
      <c r="M244" s="4">
        <v>0</v>
      </c>
      <c r="N244" s="4"/>
      <c r="O244" s="4"/>
      <c r="P244" s="4" t="s">
        <v>27</v>
      </c>
      <c r="Q244" s="4">
        <v>0</v>
      </c>
      <c r="R244" s="4">
        <v>0</v>
      </c>
      <c r="S244" s="4">
        <v>0</v>
      </c>
      <c r="T244" s="4">
        <v>0</v>
      </c>
      <c r="U244" s="4">
        <v>0</v>
      </c>
      <c r="V244" s="4">
        <v>0</v>
      </c>
      <c r="W244" s="4">
        <v>0</v>
      </c>
      <c r="X244" s="4">
        <v>0</v>
      </c>
      <c r="Y244" s="4">
        <v>0</v>
      </c>
      <c r="Z244" s="4">
        <v>0</v>
      </c>
      <c r="AA244" s="4">
        <v>0</v>
      </c>
      <c r="AB244" s="4">
        <v>0</v>
      </c>
    </row>
    <row r="245" spans="1:28" x14ac:dyDescent="0.25">
      <c r="A245" s="4" t="s">
        <v>28</v>
      </c>
      <c r="B245" s="4">
        <v>0</v>
      </c>
      <c r="C245" s="4">
        <v>0</v>
      </c>
      <c r="D245" s="4">
        <v>0</v>
      </c>
      <c r="E245" s="4">
        <v>0</v>
      </c>
      <c r="F245" s="4">
        <v>0</v>
      </c>
      <c r="G245" s="4">
        <v>0</v>
      </c>
      <c r="H245" s="4">
        <v>0</v>
      </c>
      <c r="I245" s="4">
        <v>0</v>
      </c>
      <c r="J245" s="4">
        <v>0</v>
      </c>
      <c r="K245" s="4">
        <v>0</v>
      </c>
      <c r="L245" s="4">
        <v>0</v>
      </c>
      <c r="M245" s="4">
        <v>0</v>
      </c>
      <c r="N245" s="4"/>
      <c r="O245" s="4"/>
      <c r="P245" s="4" t="s">
        <v>28</v>
      </c>
      <c r="Q245" s="4">
        <v>0</v>
      </c>
      <c r="R245" s="4">
        <v>0</v>
      </c>
      <c r="S245" s="4">
        <v>0</v>
      </c>
      <c r="T245" s="4">
        <v>0</v>
      </c>
      <c r="U245" s="4">
        <v>0</v>
      </c>
      <c r="V245" s="4">
        <v>0</v>
      </c>
      <c r="W245" s="4">
        <v>0</v>
      </c>
      <c r="X245" s="4">
        <v>0</v>
      </c>
      <c r="Y245" s="4">
        <v>0</v>
      </c>
      <c r="Z245" s="4">
        <v>0</v>
      </c>
      <c r="AA245" s="4">
        <v>0</v>
      </c>
      <c r="AB245" s="4">
        <v>0</v>
      </c>
    </row>
    <row r="246" spans="1:28" x14ac:dyDescent="0.25">
      <c r="A246" s="4" t="s">
        <v>29</v>
      </c>
      <c r="B246" s="4">
        <v>0</v>
      </c>
      <c r="C246" s="4">
        <v>0</v>
      </c>
      <c r="D246" s="4">
        <v>0</v>
      </c>
      <c r="E246" s="4">
        <v>0</v>
      </c>
      <c r="F246" s="4">
        <v>0</v>
      </c>
      <c r="G246" s="4">
        <v>0</v>
      </c>
      <c r="H246" s="4">
        <v>0</v>
      </c>
      <c r="I246" s="4">
        <v>0</v>
      </c>
      <c r="J246" s="4">
        <v>0</v>
      </c>
      <c r="K246" s="4">
        <v>0</v>
      </c>
      <c r="L246" s="4">
        <v>0</v>
      </c>
      <c r="M246" s="4">
        <v>0</v>
      </c>
      <c r="N246" s="4"/>
      <c r="O246" s="4"/>
      <c r="P246" s="4" t="s">
        <v>29</v>
      </c>
      <c r="Q246" s="4">
        <v>0</v>
      </c>
      <c r="R246" s="4">
        <v>0</v>
      </c>
      <c r="S246" s="4">
        <v>0</v>
      </c>
      <c r="T246" s="4">
        <v>0</v>
      </c>
      <c r="U246" s="4">
        <v>0</v>
      </c>
      <c r="V246" s="4">
        <v>0</v>
      </c>
      <c r="W246" s="4">
        <v>0</v>
      </c>
      <c r="X246" s="4">
        <v>0</v>
      </c>
      <c r="Y246" s="4">
        <v>0</v>
      </c>
      <c r="Z246" s="4">
        <v>0</v>
      </c>
      <c r="AA246" s="4">
        <v>0</v>
      </c>
      <c r="AB246" s="4">
        <v>0</v>
      </c>
    </row>
    <row r="247" spans="1:28" x14ac:dyDescent="0.25">
      <c r="A247" s="4" t="s">
        <v>30</v>
      </c>
      <c r="B247" s="4">
        <v>0</v>
      </c>
      <c r="C247" s="4">
        <v>0</v>
      </c>
      <c r="D247" s="4">
        <v>0</v>
      </c>
      <c r="E247" s="4">
        <v>0</v>
      </c>
      <c r="F247" s="4">
        <v>0</v>
      </c>
      <c r="G247" s="4">
        <v>0</v>
      </c>
      <c r="H247" s="4">
        <v>0</v>
      </c>
      <c r="I247" s="4">
        <v>0</v>
      </c>
      <c r="J247" s="4">
        <v>0</v>
      </c>
      <c r="K247" s="4">
        <v>0</v>
      </c>
      <c r="L247" s="4">
        <v>0</v>
      </c>
      <c r="M247" s="4">
        <v>0</v>
      </c>
      <c r="N247" s="4"/>
      <c r="O247" s="4"/>
      <c r="P247" s="4" t="s">
        <v>30</v>
      </c>
      <c r="Q247" s="4">
        <v>0</v>
      </c>
      <c r="R247" s="4">
        <v>0</v>
      </c>
      <c r="S247" s="4">
        <v>0</v>
      </c>
      <c r="T247" s="4">
        <v>0</v>
      </c>
      <c r="U247" s="4">
        <v>0</v>
      </c>
      <c r="V247" s="4">
        <v>0</v>
      </c>
      <c r="W247" s="4">
        <v>0</v>
      </c>
      <c r="X247" s="4">
        <v>0</v>
      </c>
      <c r="Y247" s="4">
        <v>0</v>
      </c>
      <c r="Z247" s="4">
        <v>0</v>
      </c>
      <c r="AA247" s="4">
        <v>0</v>
      </c>
      <c r="AB247" s="4">
        <v>0</v>
      </c>
    </row>
    <row r="248" spans="1:28" x14ac:dyDescent="0.25">
      <c r="A248" s="4" t="s">
        <v>31</v>
      </c>
      <c r="B248" s="4">
        <v>0</v>
      </c>
      <c r="C248" s="4">
        <v>0</v>
      </c>
      <c r="D248" s="4">
        <v>0</v>
      </c>
      <c r="E248" s="4">
        <v>0</v>
      </c>
      <c r="F248" s="4">
        <v>0</v>
      </c>
      <c r="G248" s="4">
        <v>0</v>
      </c>
      <c r="H248" s="4">
        <v>0</v>
      </c>
      <c r="I248" s="4">
        <v>0</v>
      </c>
      <c r="J248" s="4">
        <v>0</v>
      </c>
      <c r="K248" s="4">
        <v>0</v>
      </c>
      <c r="L248" s="4">
        <v>0</v>
      </c>
      <c r="M248" s="4">
        <v>0</v>
      </c>
      <c r="N248" s="4"/>
      <c r="O248" s="4"/>
      <c r="P248" s="4" t="s">
        <v>31</v>
      </c>
      <c r="Q248" s="4">
        <v>0</v>
      </c>
      <c r="R248" s="4">
        <v>0</v>
      </c>
      <c r="S248" s="4">
        <v>0</v>
      </c>
      <c r="T248" s="4">
        <v>0</v>
      </c>
      <c r="U248" s="4">
        <v>0</v>
      </c>
      <c r="V248" s="4">
        <v>0</v>
      </c>
      <c r="W248" s="4">
        <v>0</v>
      </c>
      <c r="X248" s="4">
        <v>0</v>
      </c>
      <c r="Y248" s="4">
        <v>0</v>
      </c>
      <c r="Z248" s="4">
        <v>0</v>
      </c>
      <c r="AA248" s="4">
        <v>0</v>
      </c>
      <c r="AB248" s="4">
        <v>0</v>
      </c>
    </row>
    <row r="249" spans="1:28" x14ac:dyDescent="0.25">
      <c r="A249" s="4" t="s">
        <v>32</v>
      </c>
      <c r="B249" s="4">
        <v>0</v>
      </c>
      <c r="C249" s="4">
        <v>0</v>
      </c>
      <c r="D249" s="4">
        <v>0</v>
      </c>
      <c r="E249" s="4">
        <v>0</v>
      </c>
      <c r="F249" s="4">
        <v>0</v>
      </c>
      <c r="G249" s="4">
        <v>0</v>
      </c>
      <c r="H249" s="4">
        <v>0</v>
      </c>
      <c r="I249" s="4">
        <v>0</v>
      </c>
      <c r="J249" s="4">
        <v>0</v>
      </c>
      <c r="K249" s="4">
        <v>0</v>
      </c>
      <c r="L249" s="4">
        <v>0</v>
      </c>
      <c r="M249" s="4">
        <v>0</v>
      </c>
      <c r="N249" s="4"/>
      <c r="O249" s="4"/>
      <c r="P249" s="4" t="s">
        <v>32</v>
      </c>
      <c r="Q249" s="4">
        <v>0</v>
      </c>
      <c r="R249" s="4">
        <v>0</v>
      </c>
      <c r="S249" s="4">
        <v>0</v>
      </c>
      <c r="T249" s="4">
        <v>0</v>
      </c>
      <c r="U249" s="4">
        <v>0</v>
      </c>
      <c r="V249" s="4">
        <v>0</v>
      </c>
      <c r="W249" s="4">
        <v>0</v>
      </c>
      <c r="X249" s="4">
        <v>0</v>
      </c>
      <c r="Y249" s="4">
        <v>0</v>
      </c>
      <c r="Z249" s="4">
        <v>0</v>
      </c>
      <c r="AA249" s="4">
        <v>0</v>
      </c>
      <c r="AB249" s="4">
        <v>0</v>
      </c>
    </row>
    <row r="250" spans="1:28" x14ac:dyDescent="0.25">
      <c r="A250" s="4" t="s">
        <v>33</v>
      </c>
      <c r="B250" s="4">
        <v>0</v>
      </c>
      <c r="C250" s="4">
        <v>0</v>
      </c>
      <c r="D250" s="4">
        <v>0</v>
      </c>
      <c r="E250" s="4">
        <v>0</v>
      </c>
      <c r="F250" s="4">
        <v>0</v>
      </c>
      <c r="G250" s="4">
        <v>0</v>
      </c>
      <c r="H250" s="4">
        <v>0</v>
      </c>
      <c r="I250" s="4">
        <v>0</v>
      </c>
      <c r="J250" s="4">
        <v>0</v>
      </c>
      <c r="K250" s="4">
        <v>0</v>
      </c>
      <c r="L250" s="4">
        <v>0</v>
      </c>
      <c r="M250" s="4">
        <v>0</v>
      </c>
      <c r="N250" s="4"/>
      <c r="O250" s="4"/>
      <c r="P250" s="4" t="s">
        <v>33</v>
      </c>
      <c r="Q250" s="4">
        <v>0</v>
      </c>
      <c r="R250" s="4">
        <v>0</v>
      </c>
      <c r="S250" s="4">
        <v>0</v>
      </c>
      <c r="T250" s="4">
        <v>0</v>
      </c>
      <c r="U250" s="4">
        <v>0</v>
      </c>
      <c r="V250" s="4">
        <v>0</v>
      </c>
      <c r="W250" s="4">
        <v>0</v>
      </c>
      <c r="X250" s="4">
        <v>0</v>
      </c>
      <c r="Y250" s="4">
        <v>0</v>
      </c>
      <c r="Z250" s="4">
        <v>0</v>
      </c>
      <c r="AA250" s="4">
        <v>0</v>
      </c>
      <c r="AB250" s="4">
        <v>0</v>
      </c>
    </row>
    <row r="251" spans="1:28" x14ac:dyDescent="0.25">
      <c r="A251" s="4" t="s">
        <v>34</v>
      </c>
      <c r="B251" s="4">
        <v>0</v>
      </c>
      <c r="C251" s="4">
        <v>0</v>
      </c>
      <c r="D251" s="4">
        <v>0</v>
      </c>
      <c r="E251" s="4">
        <v>0</v>
      </c>
      <c r="F251" s="4">
        <v>0</v>
      </c>
      <c r="G251" s="4">
        <v>0</v>
      </c>
      <c r="H251" s="4">
        <v>0</v>
      </c>
      <c r="I251" s="4">
        <v>0</v>
      </c>
      <c r="J251" s="4">
        <v>0</v>
      </c>
      <c r="K251" s="4">
        <v>0</v>
      </c>
      <c r="L251" s="4">
        <v>0</v>
      </c>
      <c r="M251" s="4">
        <v>0</v>
      </c>
      <c r="N251" s="4"/>
      <c r="O251" s="4"/>
      <c r="P251" s="4" t="s">
        <v>34</v>
      </c>
      <c r="Q251" s="4">
        <v>0</v>
      </c>
      <c r="R251" s="4">
        <v>0</v>
      </c>
      <c r="S251" s="4">
        <v>0</v>
      </c>
      <c r="T251" s="4">
        <v>0</v>
      </c>
      <c r="U251" s="4">
        <v>0</v>
      </c>
      <c r="V251" s="4">
        <v>0</v>
      </c>
      <c r="W251" s="4">
        <v>0</v>
      </c>
      <c r="X251" s="4">
        <v>0</v>
      </c>
      <c r="Y251" s="4">
        <v>0</v>
      </c>
      <c r="Z251" s="4">
        <v>0</v>
      </c>
      <c r="AA251" s="4">
        <v>0</v>
      </c>
      <c r="AB251" s="4">
        <v>0</v>
      </c>
    </row>
    <row r="252" spans="1:28" x14ac:dyDescent="0.25">
      <c r="A252" s="4" t="s">
        <v>35</v>
      </c>
      <c r="B252" s="4">
        <v>0</v>
      </c>
      <c r="C252" s="4">
        <v>0</v>
      </c>
      <c r="D252" s="4">
        <v>0</v>
      </c>
      <c r="E252" s="4">
        <v>0</v>
      </c>
      <c r="F252" s="4">
        <v>0</v>
      </c>
      <c r="G252" s="4">
        <v>0</v>
      </c>
      <c r="H252" s="4">
        <v>0</v>
      </c>
      <c r="I252" s="4">
        <v>0</v>
      </c>
      <c r="J252" s="4">
        <v>0</v>
      </c>
      <c r="K252" s="4">
        <v>0</v>
      </c>
      <c r="L252" s="4">
        <v>0</v>
      </c>
      <c r="M252" s="4">
        <v>0</v>
      </c>
      <c r="N252" s="4"/>
      <c r="O252" s="4"/>
      <c r="P252" s="4" t="s">
        <v>35</v>
      </c>
      <c r="Q252" s="4">
        <v>0</v>
      </c>
      <c r="R252" s="4">
        <v>0</v>
      </c>
      <c r="S252" s="4">
        <v>0</v>
      </c>
      <c r="T252" s="4">
        <v>0</v>
      </c>
      <c r="U252" s="4">
        <v>0</v>
      </c>
      <c r="V252" s="4">
        <v>0</v>
      </c>
      <c r="W252" s="4">
        <v>0</v>
      </c>
      <c r="X252" s="4">
        <v>0</v>
      </c>
      <c r="Y252" s="4">
        <v>0</v>
      </c>
      <c r="Z252" s="4">
        <v>0</v>
      </c>
      <c r="AA252" s="4">
        <v>0</v>
      </c>
      <c r="AB252" s="4">
        <v>0</v>
      </c>
    </row>
    <row r="253" spans="1:28" x14ac:dyDescent="0.25">
      <c r="A253" s="4" t="s">
        <v>36</v>
      </c>
      <c r="B253" s="4">
        <v>0</v>
      </c>
      <c r="C253" s="4">
        <v>0</v>
      </c>
      <c r="D253" s="4">
        <v>0</v>
      </c>
      <c r="E253" s="4">
        <v>0</v>
      </c>
      <c r="F253" s="4">
        <v>0</v>
      </c>
      <c r="G253" s="4">
        <v>0</v>
      </c>
      <c r="H253" s="4">
        <v>0</v>
      </c>
      <c r="I253" s="4">
        <v>0</v>
      </c>
      <c r="J253" s="4">
        <v>0</v>
      </c>
      <c r="K253" s="4">
        <v>0</v>
      </c>
      <c r="L253" s="4">
        <v>0</v>
      </c>
      <c r="M253" s="4">
        <v>0</v>
      </c>
      <c r="N253" s="4"/>
      <c r="O253" s="4"/>
      <c r="P253" s="4" t="s">
        <v>36</v>
      </c>
      <c r="Q253" s="4">
        <v>0</v>
      </c>
      <c r="R253" s="4">
        <v>0</v>
      </c>
      <c r="S253" s="4">
        <v>0</v>
      </c>
      <c r="T253" s="4">
        <v>0</v>
      </c>
      <c r="U253" s="4">
        <v>0</v>
      </c>
      <c r="V253" s="4">
        <v>0</v>
      </c>
      <c r="W253" s="4">
        <v>0</v>
      </c>
      <c r="X253" s="4">
        <v>0</v>
      </c>
      <c r="Y253" s="4">
        <v>0</v>
      </c>
      <c r="Z253" s="4">
        <v>0</v>
      </c>
      <c r="AA253" s="4">
        <v>0</v>
      </c>
      <c r="AB253" s="4">
        <v>0</v>
      </c>
    </row>
    <row r="256" spans="1:28" x14ac:dyDescent="0.25">
      <c r="A256" s="4" t="s">
        <v>331</v>
      </c>
      <c r="P256" s="4" t="s">
        <v>331</v>
      </c>
    </row>
    <row r="257" spans="1:28" x14ac:dyDescent="0.25">
      <c r="B257" s="4" t="s">
        <v>1</v>
      </c>
      <c r="C257" s="4" t="s">
        <v>2</v>
      </c>
      <c r="D257" s="4" t="s">
        <v>3</v>
      </c>
      <c r="E257" s="4" t="s">
        <v>4</v>
      </c>
      <c r="F257" s="4" t="s">
        <v>5</v>
      </c>
      <c r="G257" s="4" t="s">
        <v>6</v>
      </c>
      <c r="H257" s="4" t="s">
        <v>7</v>
      </c>
      <c r="I257" s="4" t="s">
        <v>8</v>
      </c>
      <c r="J257" s="4" t="s">
        <v>9</v>
      </c>
      <c r="K257" s="4" t="s">
        <v>10</v>
      </c>
      <c r="L257" s="4" t="s">
        <v>11</v>
      </c>
      <c r="M257" s="4" t="s">
        <v>12</v>
      </c>
      <c r="P257" s="4"/>
    </row>
    <row r="258" spans="1:28" x14ac:dyDescent="0.25">
      <c r="A258" s="4" t="s">
        <v>13</v>
      </c>
      <c r="B258">
        <v>0</v>
      </c>
      <c r="C258">
        <v>0</v>
      </c>
      <c r="D258">
        <v>0</v>
      </c>
      <c r="E258">
        <v>0</v>
      </c>
      <c r="F258">
        <v>0</v>
      </c>
      <c r="G258">
        <v>0</v>
      </c>
      <c r="H258">
        <v>0</v>
      </c>
      <c r="I258">
        <v>0</v>
      </c>
      <c r="J258">
        <v>0</v>
      </c>
      <c r="K258">
        <v>0</v>
      </c>
      <c r="L258">
        <v>0</v>
      </c>
      <c r="M258">
        <v>0</v>
      </c>
      <c r="P258" s="4" t="s">
        <v>13</v>
      </c>
      <c r="Q258">
        <v>0</v>
      </c>
      <c r="R258" s="4">
        <v>0</v>
      </c>
      <c r="S258" s="4">
        <v>0</v>
      </c>
      <c r="T258" s="4">
        <v>0</v>
      </c>
      <c r="U258" s="4">
        <v>0</v>
      </c>
      <c r="V258" s="4">
        <v>0</v>
      </c>
      <c r="W258" s="4">
        <v>0</v>
      </c>
      <c r="X258" s="4">
        <v>0</v>
      </c>
      <c r="Y258" s="4">
        <v>0</v>
      </c>
      <c r="Z258" s="4">
        <v>0</v>
      </c>
      <c r="AA258" s="4">
        <v>0</v>
      </c>
      <c r="AB258" s="4">
        <v>0</v>
      </c>
    </row>
    <row r="259" spans="1:28" x14ac:dyDescent="0.25">
      <c r="A259" s="4" t="s">
        <v>14</v>
      </c>
      <c r="B259">
        <v>0</v>
      </c>
      <c r="C259">
        <v>0</v>
      </c>
      <c r="D259">
        <v>0</v>
      </c>
      <c r="E259">
        <v>0</v>
      </c>
      <c r="F259">
        <v>0</v>
      </c>
      <c r="G259">
        <v>0</v>
      </c>
      <c r="H259">
        <v>0</v>
      </c>
      <c r="I259">
        <v>0</v>
      </c>
      <c r="J259">
        <v>0</v>
      </c>
      <c r="K259">
        <v>0</v>
      </c>
      <c r="L259">
        <v>0</v>
      </c>
      <c r="M259">
        <v>0</v>
      </c>
      <c r="P259" s="4" t="s">
        <v>14</v>
      </c>
      <c r="Q259" s="4">
        <v>0</v>
      </c>
      <c r="R259" s="4">
        <v>0</v>
      </c>
      <c r="S259" s="4">
        <v>0</v>
      </c>
      <c r="T259" s="4">
        <v>0</v>
      </c>
      <c r="U259" s="4">
        <v>0</v>
      </c>
      <c r="V259" s="4">
        <v>0</v>
      </c>
      <c r="W259" s="4">
        <v>0</v>
      </c>
      <c r="X259" s="4">
        <v>0</v>
      </c>
      <c r="Y259" s="4">
        <v>0</v>
      </c>
      <c r="Z259" s="4">
        <v>0</v>
      </c>
      <c r="AA259" s="4">
        <v>0</v>
      </c>
      <c r="AB259" s="4">
        <v>0</v>
      </c>
    </row>
    <row r="260" spans="1:28" x14ac:dyDescent="0.25">
      <c r="A260" s="4" t="s">
        <v>15</v>
      </c>
      <c r="B260">
        <v>0</v>
      </c>
      <c r="C260">
        <v>0</v>
      </c>
      <c r="D260">
        <v>0</v>
      </c>
      <c r="E260">
        <v>0</v>
      </c>
      <c r="F260">
        <v>0</v>
      </c>
      <c r="G260">
        <v>0</v>
      </c>
      <c r="H260">
        <v>0</v>
      </c>
      <c r="I260">
        <v>0</v>
      </c>
      <c r="J260">
        <v>0</v>
      </c>
      <c r="K260">
        <v>0</v>
      </c>
      <c r="L260">
        <v>0</v>
      </c>
      <c r="M260">
        <v>0</v>
      </c>
      <c r="P260" s="4" t="s">
        <v>15</v>
      </c>
      <c r="Q260" s="4">
        <v>0</v>
      </c>
      <c r="R260" s="4">
        <v>0</v>
      </c>
      <c r="S260" s="4">
        <v>0</v>
      </c>
      <c r="T260" s="4">
        <v>0</v>
      </c>
      <c r="U260" s="4">
        <v>0</v>
      </c>
      <c r="V260" s="4">
        <v>0</v>
      </c>
      <c r="W260" s="4">
        <v>0</v>
      </c>
      <c r="X260" s="4">
        <v>0</v>
      </c>
      <c r="Y260" s="4">
        <v>0</v>
      </c>
      <c r="Z260" s="4">
        <v>0</v>
      </c>
      <c r="AA260" s="4">
        <v>0</v>
      </c>
      <c r="AB260" s="4">
        <v>0</v>
      </c>
    </row>
    <row r="261" spans="1:28" x14ac:dyDescent="0.25">
      <c r="A261" s="4" t="s">
        <v>16</v>
      </c>
      <c r="B261">
        <v>0</v>
      </c>
      <c r="C261">
        <v>0</v>
      </c>
      <c r="D261">
        <v>0</v>
      </c>
      <c r="E261">
        <v>0</v>
      </c>
      <c r="F261">
        <v>0</v>
      </c>
      <c r="G261">
        <v>0</v>
      </c>
      <c r="H261">
        <v>0</v>
      </c>
      <c r="I261">
        <v>0</v>
      </c>
      <c r="J261">
        <v>0</v>
      </c>
      <c r="K261">
        <v>0</v>
      </c>
      <c r="L261">
        <v>0</v>
      </c>
      <c r="M261">
        <v>0</v>
      </c>
      <c r="P261" s="4" t="s">
        <v>16</v>
      </c>
      <c r="Q261" s="4">
        <v>0</v>
      </c>
      <c r="R261" s="4">
        <v>0</v>
      </c>
      <c r="S261" s="4">
        <v>0</v>
      </c>
      <c r="T261" s="4">
        <v>0</v>
      </c>
      <c r="U261" s="4">
        <v>0</v>
      </c>
      <c r="V261" s="4">
        <v>0</v>
      </c>
      <c r="W261" s="4">
        <v>0</v>
      </c>
      <c r="X261" s="4">
        <v>0</v>
      </c>
      <c r="Y261" s="4">
        <v>0</v>
      </c>
      <c r="Z261" s="4">
        <v>0</v>
      </c>
      <c r="AA261" s="4">
        <v>0</v>
      </c>
      <c r="AB261" s="4">
        <v>0</v>
      </c>
    </row>
    <row r="262" spans="1:28" x14ac:dyDescent="0.25">
      <c r="A262" s="4" t="s">
        <v>17</v>
      </c>
      <c r="B262">
        <v>0</v>
      </c>
      <c r="C262">
        <v>0</v>
      </c>
      <c r="D262">
        <v>0</v>
      </c>
      <c r="E262">
        <v>0</v>
      </c>
      <c r="F262">
        <v>0</v>
      </c>
      <c r="G262">
        <v>0</v>
      </c>
      <c r="H262">
        <v>0</v>
      </c>
      <c r="I262">
        <v>0</v>
      </c>
      <c r="J262">
        <v>0</v>
      </c>
      <c r="K262">
        <v>0</v>
      </c>
      <c r="L262">
        <v>0</v>
      </c>
      <c r="M262">
        <v>0</v>
      </c>
      <c r="P262" s="4" t="s">
        <v>17</v>
      </c>
      <c r="Q262" s="4">
        <v>0</v>
      </c>
      <c r="R262" s="4">
        <v>0</v>
      </c>
      <c r="S262" s="4">
        <v>0</v>
      </c>
      <c r="T262" s="4">
        <v>0</v>
      </c>
      <c r="U262" s="4">
        <v>0</v>
      </c>
      <c r="V262" s="4">
        <v>0</v>
      </c>
      <c r="W262" s="4">
        <v>0</v>
      </c>
      <c r="X262" s="4">
        <v>0</v>
      </c>
      <c r="Y262" s="4">
        <v>0</v>
      </c>
      <c r="Z262" s="4">
        <v>0</v>
      </c>
      <c r="AA262" s="4">
        <v>0</v>
      </c>
      <c r="AB262" s="4">
        <v>0</v>
      </c>
    </row>
    <row r="263" spans="1:28" x14ac:dyDescent="0.25">
      <c r="A263" s="4" t="s">
        <v>18</v>
      </c>
      <c r="B263">
        <v>0</v>
      </c>
      <c r="C263">
        <v>0</v>
      </c>
      <c r="D263">
        <v>0</v>
      </c>
      <c r="E263">
        <v>0</v>
      </c>
      <c r="F263">
        <v>0</v>
      </c>
      <c r="G263">
        <v>0</v>
      </c>
      <c r="H263">
        <v>0</v>
      </c>
      <c r="I263">
        <v>0</v>
      </c>
      <c r="J263">
        <v>0</v>
      </c>
      <c r="K263">
        <v>0</v>
      </c>
      <c r="L263">
        <v>0</v>
      </c>
      <c r="M263">
        <v>0</v>
      </c>
      <c r="P263" s="4" t="s">
        <v>18</v>
      </c>
      <c r="Q263" s="4">
        <v>0</v>
      </c>
      <c r="R263" s="4">
        <v>0</v>
      </c>
      <c r="S263" s="4">
        <v>0</v>
      </c>
      <c r="T263" s="4">
        <v>0</v>
      </c>
      <c r="U263" s="4">
        <v>0</v>
      </c>
      <c r="V263" s="4">
        <v>0</v>
      </c>
      <c r="W263" s="4">
        <v>0</v>
      </c>
      <c r="X263" s="4">
        <v>0</v>
      </c>
      <c r="Y263" s="4">
        <v>0</v>
      </c>
      <c r="Z263" s="4">
        <v>0</v>
      </c>
      <c r="AA263" s="4">
        <v>0</v>
      </c>
      <c r="AB263" s="4">
        <v>0</v>
      </c>
    </row>
    <row r="264" spans="1:28" x14ac:dyDescent="0.25">
      <c r="A264" s="4" t="s">
        <v>19</v>
      </c>
      <c r="B264">
        <v>0</v>
      </c>
      <c r="C264">
        <v>0</v>
      </c>
      <c r="D264">
        <v>0</v>
      </c>
      <c r="E264">
        <v>936.17296974845954</v>
      </c>
      <c r="F264">
        <v>4028.0028143836412</v>
      </c>
      <c r="G264">
        <v>5600.5766440882499</v>
      </c>
      <c r="H264">
        <v>4003.7471125836664</v>
      </c>
      <c r="I264">
        <v>901.59429190704952</v>
      </c>
      <c r="J264">
        <v>0</v>
      </c>
      <c r="K264">
        <v>0</v>
      </c>
      <c r="L264">
        <v>0</v>
      </c>
      <c r="M264">
        <v>0</v>
      </c>
      <c r="P264" s="4" t="s">
        <v>19</v>
      </c>
      <c r="Q264" s="4">
        <v>0</v>
      </c>
      <c r="R264" s="4">
        <v>0</v>
      </c>
      <c r="S264" s="4">
        <v>0</v>
      </c>
      <c r="T264" s="4">
        <v>1189.75327957116</v>
      </c>
      <c r="U264" s="4">
        <v>4800.5311104353468</v>
      </c>
      <c r="V264" s="4">
        <v>6594.4328309367602</v>
      </c>
      <c r="W264" s="4">
        <v>4814.0035470930534</v>
      </c>
      <c r="X264" s="4">
        <v>1169.5781607001102</v>
      </c>
      <c r="Y264" s="4">
        <v>0</v>
      </c>
      <c r="Z264" s="4">
        <v>0</v>
      </c>
      <c r="AA264" s="4">
        <v>0</v>
      </c>
      <c r="AB264" s="4">
        <v>0</v>
      </c>
    </row>
    <row r="265" spans="1:28" x14ac:dyDescent="0.25">
      <c r="A265" s="4" t="s">
        <v>20</v>
      </c>
      <c r="B265">
        <v>1061.5773629154787</v>
      </c>
      <c r="C265">
        <v>1694.8913351403128</v>
      </c>
      <c r="D265">
        <v>2144.3210124197899</v>
      </c>
      <c r="E265">
        <v>4569.7785737501436</v>
      </c>
      <c r="F265">
        <v>9038.31462126728</v>
      </c>
      <c r="G265">
        <v>11000.953859359153</v>
      </c>
      <c r="H265">
        <v>9223.6650958749578</v>
      </c>
      <c r="I265">
        <v>4895.5371914336702</v>
      </c>
      <c r="J265">
        <v>2252.1234047922153</v>
      </c>
      <c r="K265">
        <v>1710.8681782379408</v>
      </c>
      <c r="L265">
        <v>1047.8728104232541</v>
      </c>
      <c r="M265">
        <v>694.50503454796421</v>
      </c>
      <c r="P265" s="4" t="s">
        <v>20</v>
      </c>
      <c r="Q265" s="4">
        <v>7305.1654170663187</v>
      </c>
      <c r="R265" s="4">
        <v>8132.1608073134694</v>
      </c>
      <c r="S265" s="4">
        <v>5455.9139271309959</v>
      </c>
      <c r="T265" s="4">
        <v>6961.4987381051405</v>
      </c>
      <c r="U265" s="4">
        <v>11867.993174579942</v>
      </c>
      <c r="V265" s="4">
        <v>14008.159810676387</v>
      </c>
      <c r="W265" s="4">
        <v>12165.811425858561</v>
      </c>
      <c r="X265" s="4">
        <v>7469.8674429395123</v>
      </c>
      <c r="Y265" s="4">
        <v>5497.2067920816335</v>
      </c>
      <c r="Z265" s="4">
        <v>7577.9783142998604</v>
      </c>
      <c r="AA265" s="4">
        <v>6945.6556545724106</v>
      </c>
      <c r="AB265" s="4">
        <v>5322.817879070767</v>
      </c>
    </row>
    <row r="266" spans="1:28" x14ac:dyDescent="0.25">
      <c r="A266" s="4" t="s">
        <v>21</v>
      </c>
      <c r="B266">
        <v>3698.7254166677412</v>
      </c>
      <c r="C266">
        <v>3892.6095771713881</v>
      </c>
      <c r="D266">
        <v>4056.5400334821607</v>
      </c>
      <c r="E266">
        <v>4580.1204775923679</v>
      </c>
      <c r="F266">
        <v>8895.0720675846533</v>
      </c>
      <c r="G266">
        <v>11044.841333352737</v>
      </c>
      <c r="H266">
        <v>9258.1739669771869</v>
      </c>
      <c r="I266">
        <v>5071.8703329526206</v>
      </c>
      <c r="J266">
        <v>4254.1548019401362</v>
      </c>
      <c r="K266">
        <v>3978.8773036352354</v>
      </c>
      <c r="L266">
        <v>3710.1065632033415</v>
      </c>
      <c r="M266">
        <v>3527.6145537299808</v>
      </c>
      <c r="P266" s="4" t="s">
        <v>21</v>
      </c>
      <c r="Q266" s="4">
        <v>23758.373796294985</v>
      </c>
      <c r="R266" s="4">
        <v>18894.589783306241</v>
      </c>
      <c r="S266" s="4">
        <v>12336.244148941501</v>
      </c>
      <c r="T266" s="4">
        <v>8416.2163584975824</v>
      </c>
      <c r="U266" s="4">
        <v>13130.878649370581</v>
      </c>
      <c r="V266" s="4">
        <v>15439.779629586194</v>
      </c>
      <c r="W266" s="4">
        <v>13636.270442886194</v>
      </c>
      <c r="X266" s="4">
        <v>9168.7810810844312</v>
      </c>
      <c r="Y266" s="4">
        <v>12362.307507896681</v>
      </c>
      <c r="Z266" s="4">
        <v>18218.834226790954</v>
      </c>
      <c r="AA266" s="4">
        <v>23198.733936189976</v>
      </c>
      <c r="AB266" s="4">
        <v>24597.58178863689</v>
      </c>
    </row>
    <row r="267" spans="1:28" x14ac:dyDescent="0.25">
      <c r="A267" s="4" t="s">
        <v>22</v>
      </c>
      <c r="B267">
        <v>5411.4301707141112</v>
      </c>
      <c r="C267">
        <v>5530.1713684921342</v>
      </c>
      <c r="D267">
        <v>5574.5404460171349</v>
      </c>
      <c r="E267">
        <v>5747.7576265306625</v>
      </c>
      <c r="F267">
        <v>8033.1230879473214</v>
      </c>
      <c r="G267">
        <v>10099.415742878964</v>
      </c>
      <c r="H267">
        <v>8458.392093803699</v>
      </c>
      <c r="I267">
        <v>6060.1938584509453</v>
      </c>
      <c r="J267">
        <v>5789.0407282619035</v>
      </c>
      <c r="K267">
        <v>5632.5979534633989</v>
      </c>
      <c r="L267">
        <v>5435.2711998574578</v>
      </c>
      <c r="M267">
        <v>5272.3044040951709</v>
      </c>
      <c r="P267" s="4" t="s">
        <v>22</v>
      </c>
      <c r="Q267" s="4">
        <v>33320.24119978946</v>
      </c>
      <c r="R267" s="4">
        <v>27209.817051685095</v>
      </c>
      <c r="S267" s="4">
        <v>18768.528599851365</v>
      </c>
      <c r="T267" s="4">
        <v>11905.647959292106</v>
      </c>
      <c r="U267" s="4">
        <v>13333.392436300242</v>
      </c>
      <c r="V267" s="4">
        <v>15543.246206663262</v>
      </c>
      <c r="W267" s="4">
        <v>13909.662070802329</v>
      </c>
      <c r="X267" s="4">
        <v>12151.428530273275</v>
      </c>
      <c r="Y267" s="4">
        <v>18670.092574083894</v>
      </c>
      <c r="Z267" s="4">
        <v>26431.112747251835</v>
      </c>
      <c r="AA267" s="4">
        <v>32763.674523503745</v>
      </c>
      <c r="AB267" s="4">
        <v>34781.829824001688</v>
      </c>
    </row>
    <row r="268" spans="1:28" x14ac:dyDescent="0.25">
      <c r="A268" s="4" t="s">
        <v>23</v>
      </c>
      <c r="B268">
        <v>6616.5571841237079</v>
      </c>
      <c r="C268">
        <v>6740.818234235895</v>
      </c>
      <c r="D268">
        <v>6720.114391055683</v>
      </c>
      <c r="E268">
        <v>6768.239122688512</v>
      </c>
      <c r="F268">
        <v>7492.0349482413885</v>
      </c>
      <c r="G268">
        <v>9287.4641999651121</v>
      </c>
      <c r="H268">
        <v>7895.6151033990855</v>
      </c>
      <c r="I268">
        <v>7078.5806253877718</v>
      </c>
      <c r="J268">
        <v>6930.8652362083803</v>
      </c>
      <c r="K268">
        <v>6843.2193820018956</v>
      </c>
      <c r="L268">
        <v>6643.2998631501832</v>
      </c>
      <c r="M268">
        <v>6479.6120772253917</v>
      </c>
      <c r="P268" s="4" t="s">
        <v>23</v>
      </c>
      <c r="Q268" s="4">
        <v>39752.014693343706</v>
      </c>
      <c r="R268" s="4">
        <v>33514.725732532344</v>
      </c>
      <c r="S268" s="4">
        <v>24013.25387942107</v>
      </c>
      <c r="T268" s="4">
        <v>15541.492336206284</v>
      </c>
      <c r="U268" s="4">
        <v>13562.148493655903</v>
      </c>
      <c r="V268" s="4">
        <v>15489.208711625022</v>
      </c>
      <c r="W268" s="4">
        <v>14118.067488554447</v>
      </c>
      <c r="X268" s="4">
        <v>15611.058448448177</v>
      </c>
      <c r="Y268" s="4">
        <v>23785.667772564368</v>
      </c>
      <c r="Z268" s="4">
        <v>32643.637624904088</v>
      </c>
      <c r="AA268" s="4">
        <v>39182.027706778936</v>
      </c>
      <c r="AB268" s="4">
        <v>41431.343065348658</v>
      </c>
    </row>
    <row r="269" spans="1:28" x14ac:dyDescent="0.25">
      <c r="A269" s="4" t="s">
        <v>24</v>
      </c>
      <c r="B269">
        <v>7350.6184938745582</v>
      </c>
      <c r="C269">
        <v>7484.072776988367</v>
      </c>
      <c r="D269">
        <v>7438.0854787602129</v>
      </c>
      <c r="E269">
        <v>7411.5380966651373</v>
      </c>
      <c r="F269">
        <v>7546.3551810265535</v>
      </c>
      <c r="G269">
        <v>8852.6391855299134</v>
      </c>
      <c r="H269">
        <v>7764.285010346649</v>
      </c>
      <c r="I269">
        <v>7716.732759462222</v>
      </c>
      <c r="J269">
        <v>7642.0454363743356</v>
      </c>
      <c r="K269">
        <v>7586.0881064440091</v>
      </c>
      <c r="L269">
        <v>7377.6637838772194</v>
      </c>
      <c r="M269">
        <v>7209.6658971832512</v>
      </c>
      <c r="P269" s="4" t="s">
        <v>24</v>
      </c>
      <c r="Q269" s="4">
        <v>43608.196239603683</v>
      </c>
      <c r="R269" s="4">
        <v>37344.230512491238</v>
      </c>
      <c r="S269" s="4">
        <v>27433.137972091172</v>
      </c>
      <c r="T269" s="4">
        <v>18047.059820730163</v>
      </c>
      <c r="U269" s="4">
        <v>14145.415460656863</v>
      </c>
      <c r="V269" s="4">
        <v>15516.325065456536</v>
      </c>
      <c r="W269" s="4">
        <v>14454.380512006635</v>
      </c>
      <c r="X269" s="4">
        <v>18003.666237271624</v>
      </c>
      <c r="Y269" s="4">
        <v>27114.744382297336</v>
      </c>
      <c r="Z269" s="4">
        <v>36457.999179112019</v>
      </c>
      <c r="AA269" s="4">
        <v>43027.682140193945</v>
      </c>
      <c r="AB269" s="4">
        <v>45354.904133878248</v>
      </c>
    </row>
    <row r="270" spans="1:28" x14ac:dyDescent="0.25">
      <c r="A270" s="4" t="s">
        <v>25</v>
      </c>
      <c r="B270">
        <v>7598.0734056407309</v>
      </c>
      <c r="C270">
        <v>7732.3077324193955</v>
      </c>
      <c r="D270">
        <v>7682.9308505129848</v>
      </c>
      <c r="E270">
        <v>7631.4657013101905</v>
      </c>
      <c r="F270">
        <v>7737.830283125033</v>
      </c>
      <c r="G270">
        <v>8731.5086623935058</v>
      </c>
      <c r="H270">
        <v>7903.3818719516767</v>
      </c>
      <c r="I270">
        <v>7934.3669162995357</v>
      </c>
      <c r="J270">
        <v>7883.9850728341062</v>
      </c>
      <c r="K270">
        <v>7833.1644186783433</v>
      </c>
      <c r="L270">
        <v>7625.0262212489852</v>
      </c>
      <c r="M270">
        <v>7455.1068630998279</v>
      </c>
      <c r="P270" s="4" t="s">
        <v>25</v>
      </c>
      <c r="Q270" s="4">
        <v>44900.024310649038</v>
      </c>
      <c r="R270" s="4">
        <v>38582.601087084942</v>
      </c>
      <c r="S270" s="4">
        <v>28619.582484073762</v>
      </c>
      <c r="T270" s="4">
        <v>18935.584641995796</v>
      </c>
      <c r="U270" s="4">
        <v>14682.399571965692</v>
      </c>
      <c r="V270" s="4">
        <v>15550.564742807055</v>
      </c>
      <c r="W270" s="4">
        <v>14823.455419503201</v>
      </c>
      <c r="X270" s="4">
        <v>18853.11633588051</v>
      </c>
      <c r="Y270" s="4">
        <v>28268.876921881281</v>
      </c>
      <c r="Z270" s="4">
        <v>37680.301616263547</v>
      </c>
      <c r="AA270" s="4">
        <v>44315.613411110811</v>
      </c>
      <c r="AB270" s="4">
        <v>46661.12274402981</v>
      </c>
    </row>
    <row r="271" spans="1:28" x14ac:dyDescent="0.25">
      <c r="A271" s="4" t="s">
        <v>26</v>
      </c>
      <c r="B271">
        <v>7350.6184938745582</v>
      </c>
      <c r="C271">
        <v>7484.072776988367</v>
      </c>
      <c r="D271">
        <v>7438.0854787602129</v>
      </c>
      <c r="E271">
        <v>7411.5380966651373</v>
      </c>
      <c r="F271">
        <v>7546.3551810265535</v>
      </c>
      <c r="G271">
        <v>8852.6391855299134</v>
      </c>
      <c r="H271">
        <v>7764.285010346649</v>
      </c>
      <c r="I271">
        <v>7716.732759462222</v>
      </c>
      <c r="J271">
        <v>7642.0454363743356</v>
      </c>
      <c r="K271">
        <v>7586.0881064440091</v>
      </c>
      <c r="L271">
        <v>7377.6637838772194</v>
      </c>
      <c r="M271">
        <v>7209.6658971832512</v>
      </c>
      <c r="P271" s="4" t="s">
        <v>26</v>
      </c>
      <c r="Q271" s="4">
        <v>43608.196239603683</v>
      </c>
      <c r="R271" s="4">
        <v>37344.230512491238</v>
      </c>
      <c r="S271" s="4">
        <v>27433.137972091172</v>
      </c>
      <c r="T271" s="4">
        <v>18047.059820730163</v>
      </c>
      <c r="U271" s="4">
        <v>14145.415460656863</v>
      </c>
      <c r="V271" s="4">
        <v>15516.325065456536</v>
      </c>
      <c r="W271" s="4">
        <v>14454.380512006635</v>
      </c>
      <c r="X271" s="4">
        <v>18003.666237271624</v>
      </c>
      <c r="Y271" s="4">
        <v>27114.744382297336</v>
      </c>
      <c r="Z271" s="4">
        <v>36457.999179112019</v>
      </c>
      <c r="AA271" s="4">
        <v>43027.682140193945</v>
      </c>
      <c r="AB271" s="4">
        <v>45354.904133878248</v>
      </c>
    </row>
    <row r="272" spans="1:28" x14ac:dyDescent="0.25">
      <c r="A272" s="4" t="s">
        <v>27</v>
      </c>
      <c r="B272">
        <v>6616.5571841237079</v>
      </c>
      <c r="C272">
        <v>6740.818234235895</v>
      </c>
      <c r="D272">
        <v>6720.114391055683</v>
      </c>
      <c r="E272">
        <v>6768.239122688512</v>
      </c>
      <c r="F272">
        <v>7492.0349482413885</v>
      </c>
      <c r="G272">
        <v>9287.4641999651121</v>
      </c>
      <c r="H272">
        <v>7895.6151033990918</v>
      </c>
      <c r="I272">
        <v>7078.5806253877718</v>
      </c>
      <c r="J272">
        <v>6930.8652362083803</v>
      </c>
      <c r="K272">
        <v>6843.2193820018956</v>
      </c>
      <c r="L272">
        <v>6643.2998631501832</v>
      </c>
      <c r="M272">
        <v>6479.6120772253917</v>
      </c>
      <c r="P272" s="4" t="s">
        <v>27</v>
      </c>
      <c r="Q272" s="4">
        <v>39752.014693343706</v>
      </c>
      <c r="R272" s="4">
        <v>33514.725732532344</v>
      </c>
      <c r="S272" s="4">
        <v>24013.25387942107</v>
      </c>
      <c r="T272" s="4">
        <v>15541.492336206284</v>
      </c>
      <c r="U272" s="4">
        <v>13562.148493655903</v>
      </c>
      <c r="V272" s="4">
        <v>15489.208711625022</v>
      </c>
      <c r="W272" s="4">
        <v>14118.067488554454</v>
      </c>
      <c r="X272" s="4">
        <v>15611.058448448177</v>
      </c>
      <c r="Y272" s="4">
        <v>23785.667772564368</v>
      </c>
      <c r="Z272" s="4">
        <v>32643.637624904088</v>
      </c>
      <c r="AA272" s="4">
        <v>39182.027706778936</v>
      </c>
      <c r="AB272" s="4">
        <v>41431.343065348658</v>
      </c>
    </row>
    <row r="273" spans="1:28" x14ac:dyDescent="0.25">
      <c r="A273" s="4" t="s">
        <v>28</v>
      </c>
      <c r="B273">
        <v>5411.4301707141112</v>
      </c>
      <c r="C273">
        <v>5530.1713684921342</v>
      </c>
      <c r="D273">
        <v>5574.5404460171349</v>
      </c>
      <c r="E273">
        <v>5747.7576265306625</v>
      </c>
      <c r="F273">
        <v>8033.1230879473214</v>
      </c>
      <c r="G273">
        <v>10099.415742878964</v>
      </c>
      <c r="H273">
        <v>8458.3920938036936</v>
      </c>
      <c r="I273">
        <v>6060.1938584509453</v>
      </c>
      <c r="J273">
        <v>5789.0407282619035</v>
      </c>
      <c r="K273">
        <v>5632.5979534633989</v>
      </c>
      <c r="L273">
        <v>5435.2711998574578</v>
      </c>
      <c r="M273">
        <v>5272.3044040951709</v>
      </c>
      <c r="P273" s="4" t="s">
        <v>28</v>
      </c>
      <c r="Q273" s="4">
        <v>33320.24119978946</v>
      </c>
      <c r="R273" s="4">
        <v>27209.817051685095</v>
      </c>
      <c r="S273" s="4">
        <v>18768.528599851365</v>
      </c>
      <c r="T273" s="4">
        <v>11905.647959292106</v>
      </c>
      <c r="U273" s="4">
        <v>13333.392436300242</v>
      </c>
      <c r="V273" s="4">
        <v>15543.246206663262</v>
      </c>
      <c r="W273" s="4">
        <v>13909.662070802322</v>
      </c>
      <c r="X273" s="4">
        <v>12151.428530273275</v>
      </c>
      <c r="Y273" s="4">
        <v>18670.092574083894</v>
      </c>
      <c r="Z273" s="4">
        <v>26431.112747251835</v>
      </c>
      <c r="AA273" s="4">
        <v>32763.674523503745</v>
      </c>
      <c r="AB273" s="4">
        <v>34781.829824001688</v>
      </c>
    </row>
    <row r="274" spans="1:28" x14ac:dyDescent="0.25">
      <c r="A274" s="4" t="s">
        <v>29</v>
      </c>
      <c r="B274">
        <v>3698.7254166677412</v>
      </c>
      <c r="C274">
        <v>3892.6095771713881</v>
      </c>
      <c r="D274">
        <v>4056.5400334821607</v>
      </c>
      <c r="E274">
        <v>4580.1204775923679</v>
      </c>
      <c r="F274">
        <v>8895.0720675846369</v>
      </c>
      <c r="G274">
        <v>11044.841333352728</v>
      </c>
      <c r="H274">
        <v>9258.1739669771869</v>
      </c>
      <c r="I274">
        <v>5071.8703329526252</v>
      </c>
      <c r="J274">
        <v>4254.1548019401362</v>
      </c>
      <c r="K274">
        <v>3978.8773036352354</v>
      </c>
      <c r="L274">
        <v>3710.1065632033415</v>
      </c>
      <c r="M274">
        <v>3527.6145537299808</v>
      </c>
      <c r="P274" s="4" t="s">
        <v>29</v>
      </c>
      <c r="Q274" s="4">
        <v>23758.373796294985</v>
      </c>
      <c r="R274" s="4">
        <v>18894.589783306241</v>
      </c>
      <c r="S274" s="4">
        <v>12336.244148941501</v>
      </c>
      <c r="T274" s="4">
        <v>8416.2163584975824</v>
      </c>
      <c r="U274" s="4">
        <v>13130.878649370563</v>
      </c>
      <c r="V274" s="4">
        <v>15439.779629586184</v>
      </c>
      <c r="W274" s="4">
        <v>13636.270442886194</v>
      </c>
      <c r="X274" s="4">
        <v>9168.7810810844367</v>
      </c>
      <c r="Y274" s="4">
        <v>12362.307507896681</v>
      </c>
      <c r="Z274" s="4">
        <v>18218.834226790954</v>
      </c>
      <c r="AA274" s="4">
        <v>23198.733936189976</v>
      </c>
      <c r="AB274" s="4">
        <v>24597.58178863689</v>
      </c>
    </row>
    <row r="275" spans="1:28" x14ac:dyDescent="0.25">
      <c r="A275" s="4" t="s">
        <v>30</v>
      </c>
      <c r="B275">
        <v>1061.5773629154787</v>
      </c>
      <c r="C275">
        <v>1694.8913351403128</v>
      </c>
      <c r="D275">
        <v>2144.3210124197899</v>
      </c>
      <c r="E275">
        <v>4569.7785737501545</v>
      </c>
      <c r="F275">
        <v>9038.3146212672727</v>
      </c>
      <c r="G275">
        <v>11000.95385935917</v>
      </c>
      <c r="H275">
        <v>9223.6650958749578</v>
      </c>
      <c r="I275">
        <v>4895.5371914336793</v>
      </c>
      <c r="J275">
        <v>2252.1234047922153</v>
      </c>
      <c r="K275">
        <v>1710.8681782379408</v>
      </c>
      <c r="L275">
        <v>1047.8728104232541</v>
      </c>
      <c r="M275">
        <v>694.50503454796421</v>
      </c>
      <c r="P275" s="4" t="s">
        <v>30</v>
      </c>
      <c r="Q275" s="4">
        <v>7305.1654170663187</v>
      </c>
      <c r="R275" s="4">
        <v>8132.1608073134694</v>
      </c>
      <c r="S275" s="4">
        <v>5455.9139271309959</v>
      </c>
      <c r="T275" s="4">
        <v>6961.4987381051515</v>
      </c>
      <c r="U275" s="4">
        <v>11867.993174579935</v>
      </c>
      <c r="V275" s="4">
        <v>14008.159810676403</v>
      </c>
      <c r="W275" s="4">
        <v>12165.811425858561</v>
      </c>
      <c r="X275" s="4">
        <v>7469.8674429395196</v>
      </c>
      <c r="Y275" s="4">
        <v>5497.2067920816335</v>
      </c>
      <c r="Z275" s="4">
        <v>7577.9783142998604</v>
      </c>
      <c r="AA275" s="4">
        <v>6945.6556545724106</v>
      </c>
      <c r="AB275" s="4">
        <v>5322.817879070767</v>
      </c>
    </row>
    <row r="276" spans="1:28" x14ac:dyDescent="0.25">
      <c r="A276" s="4" t="s">
        <v>31</v>
      </c>
      <c r="B276">
        <v>0</v>
      </c>
      <c r="C276">
        <v>0</v>
      </c>
      <c r="D276">
        <v>0</v>
      </c>
      <c r="E276">
        <v>936.17296974845658</v>
      </c>
      <c r="F276">
        <v>4028.0028143836357</v>
      </c>
      <c r="G276">
        <v>5600.5766440882571</v>
      </c>
      <c r="H276">
        <v>4003.7471125836628</v>
      </c>
      <c r="I276">
        <v>901.5942919070477</v>
      </c>
      <c r="J276">
        <v>0</v>
      </c>
      <c r="K276">
        <v>0</v>
      </c>
      <c r="L276">
        <v>0</v>
      </c>
      <c r="M276">
        <v>0</v>
      </c>
      <c r="P276" s="4" t="s">
        <v>31</v>
      </c>
      <c r="Q276" s="4">
        <v>0</v>
      </c>
      <c r="R276" s="4">
        <v>0</v>
      </c>
      <c r="S276" s="4">
        <v>0</v>
      </c>
      <c r="T276" s="4">
        <v>1189.7532795711572</v>
      </c>
      <c r="U276" s="4">
        <v>4800.5311104353414</v>
      </c>
      <c r="V276" s="4">
        <v>6594.4328309367675</v>
      </c>
      <c r="W276" s="4">
        <v>4814.0035470930497</v>
      </c>
      <c r="X276" s="4">
        <v>1169.5781607001084</v>
      </c>
      <c r="Y276" s="4">
        <v>0</v>
      </c>
      <c r="Z276" s="4">
        <v>0</v>
      </c>
      <c r="AA276" s="4">
        <v>0</v>
      </c>
      <c r="AB276" s="4">
        <v>0</v>
      </c>
    </row>
    <row r="277" spans="1:28" x14ac:dyDescent="0.25">
      <c r="A277" s="4" t="s">
        <v>32</v>
      </c>
      <c r="B277">
        <v>0</v>
      </c>
      <c r="C277">
        <v>0</v>
      </c>
      <c r="D277">
        <v>0</v>
      </c>
      <c r="E277">
        <v>0</v>
      </c>
      <c r="F277">
        <v>0</v>
      </c>
      <c r="G277">
        <v>0</v>
      </c>
      <c r="H277">
        <v>0</v>
      </c>
      <c r="I277">
        <v>0</v>
      </c>
      <c r="J277">
        <v>0</v>
      </c>
      <c r="K277">
        <v>0</v>
      </c>
      <c r="L277">
        <v>0</v>
      </c>
      <c r="M277">
        <v>0</v>
      </c>
      <c r="P277" s="4" t="s">
        <v>32</v>
      </c>
      <c r="Q277" s="4">
        <v>0</v>
      </c>
      <c r="R277" s="4">
        <v>0</v>
      </c>
      <c r="S277" s="4">
        <v>0</v>
      </c>
      <c r="T277" s="4">
        <v>0</v>
      </c>
      <c r="U277" s="4">
        <v>0</v>
      </c>
      <c r="V277" s="4">
        <v>0</v>
      </c>
      <c r="W277" s="4">
        <v>0</v>
      </c>
      <c r="X277" s="4">
        <v>0</v>
      </c>
      <c r="Y277" s="4">
        <v>0</v>
      </c>
      <c r="Z277" s="4">
        <v>0</v>
      </c>
      <c r="AA277" s="4">
        <v>0</v>
      </c>
      <c r="AB277" s="4">
        <v>0</v>
      </c>
    </row>
    <row r="278" spans="1:28" x14ac:dyDescent="0.25">
      <c r="A278" s="4" t="s">
        <v>33</v>
      </c>
      <c r="B278">
        <v>0</v>
      </c>
      <c r="C278">
        <v>0</v>
      </c>
      <c r="D278">
        <v>0</v>
      </c>
      <c r="E278">
        <v>0</v>
      </c>
      <c r="F278">
        <v>0</v>
      </c>
      <c r="G278">
        <v>0</v>
      </c>
      <c r="H278">
        <v>0</v>
      </c>
      <c r="I278">
        <v>0</v>
      </c>
      <c r="J278">
        <v>0</v>
      </c>
      <c r="K278">
        <v>0</v>
      </c>
      <c r="L278">
        <v>0</v>
      </c>
      <c r="M278">
        <v>0</v>
      </c>
      <c r="P278" s="4" t="s">
        <v>33</v>
      </c>
      <c r="Q278" s="4">
        <v>0</v>
      </c>
      <c r="R278" s="4">
        <v>0</v>
      </c>
      <c r="S278" s="4">
        <v>0</v>
      </c>
      <c r="T278" s="4">
        <v>0</v>
      </c>
      <c r="U278" s="4">
        <v>0</v>
      </c>
      <c r="V278" s="4">
        <v>0</v>
      </c>
      <c r="W278" s="4">
        <v>0</v>
      </c>
      <c r="X278" s="4">
        <v>0</v>
      </c>
      <c r="Y278" s="4">
        <v>0</v>
      </c>
      <c r="Z278" s="4">
        <v>0</v>
      </c>
      <c r="AA278" s="4">
        <v>0</v>
      </c>
      <c r="AB278" s="4">
        <v>0</v>
      </c>
    </row>
    <row r="279" spans="1:28" x14ac:dyDescent="0.25">
      <c r="A279" s="4" t="s">
        <v>34</v>
      </c>
      <c r="B279">
        <v>0</v>
      </c>
      <c r="C279">
        <v>0</v>
      </c>
      <c r="D279">
        <v>0</v>
      </c>
      <c r="E279">
        <v>0</v>
      </c>
      <c r="F279">
        <v>0</v>
      </c>
      <c r="G279">
        <v>0</v>
      </c>
      <c r="H279">
        <v>0</v>
      </c>
      <c r="I279">
        <v>0</v>
      </c>
      <c r="J279">
        <v>0</v>
      </c>
      <c r="K279">
        <v>0</v>
      </c>
      <c r="L279">
        <v>0</v>
      </c>
      <c r="M279">
        <v>0</v>
      </c>
      <c r="P279" s="4" t="s">
        <v>34</v>
      </c>
      <c r="Q279" s="4">
        <v>0</v>
      </c>
      <c r="R279" s="4">
        <v>0</v>
      </c>
      <c r="S279" s="4">
        <v>0</v>
      </c>
      <c r="T279" s="4">
        <v>0</v>
      </c>
      <c r="U279" s="4">
        <v>0</v>
      </c>
      <c r="V279" s="4">
        <v>0</v>
      </c>
      <c r="W279" s="4">
        <v>0</v>
      </c>
      <c r="X279" s="4">
        <v>0</v>
      </c>
      <c r="Y279" s="4">
        <v>0</v>
      </c>
      <c r="Z279" s="4">
        <v>0</v>
      </c>
      <c r="AA279" s="4">
        <v>0</v>
      </c>
      <c r="AB279" s="4">
        <v>0</v>
      </c>
    </row>
    <row r="280" spans="1:28" x14ac:dyDescent="0.25">
      <c r="A280" s="4" t="s">
        <v>35</v>
      </c>
      <c r="B280">
        <v>0</v>
      </c>
      <c r="C280">
        <v>0</v>
      </c>
      <c r="D280">
        <v>0</v>
      </c>
      <c r="E280">
        <v>0</v>
      </c>
      <c r="F280">
        <v>0</v>
      </c>
      <c r="G280">
        <v>0</v>
      </c>
      <c r="H280">
        <v>0</v>
      </c>
      <c r="I280">
        <v>0</v>
      </c>
      <c r="J280">
        <v>0</v>
      </c>
      <c r="K280">
        <v>0</v>
      </c>
      <c r="L280">
        <v>0</v>
      </c>
      <c r="M280">
        <v>0</v>
      </c>
      <c r="P280" s="4" t="s">
        <v>35</v>
      </c>
      <c r="Q280" s="4">
        <v>0</v>
      </c>
      <c r="R280" s="4">
        <v>0</v>
      </c>
      <c r="S280" s="4">
        <v>0</v>
      </c>
      <c r="T280" s="4">
        <v>0</v>
      </c>
      <c r="U280" s="4">
        <v>0</v>
      </c>
      <c r="V280" s="4">
        <v>0</v>
      </c>
      <c r="W280" s="4">
        <v>0</v>
      </c>
      <c r="X280" s="4">
        <v>0</v>
      </c>
      <c r="Y280" s="4">
        <v>0</v>
      </c>
      <c r="Z280" s="4">
        <v>0</v>
      </c>
      <c r="AA280" s="4">
        <v>0</v>
      </c>
      <c r="AB280" s="4">
        <v>0</v>
      </c>
    </row>
    <row r="281" spans="1:28" x14ac:dyDescent="0.25">
      <c r="A281" s="4" t="s">
        <v>36</v>
      </c>
      <c r="B281">
        <v>0</v>
      </c>
      <c r="C281">
        <v>0</v>
      </c>
      <c r="D281">
        <v>0</v>
      </c>
      <c r="E281">
        <v>0</v>
      </c>
      <c r="F281">
        <v>0</v>
      </c>
      <c r="G281">
        <v>0</v>
      </c>
      <c r="H281">
        <v>0</v>
      </c>
      <c r="I281">
        <v>0</v>
      </c>
      <c r="J281">
        <v>0</v>
      </c>
      <c r="K281">
        <v>0</v>
      </c>
      <c r="L281">
        <v>0</v>
      </c>
      <c r="M281">
        <v>0</v>
      </c>
      <c r="P281" s="4" t="s">
        <v>36</v>
      </c>
      <c r="Q281" s="4">
        <v>0</v>
      </c>
      <c r="R281" s="4">
        <v>0</v>
      </c>
      <c r="S281" s="4">
        <v>0</v>
      </c>
      <c r="T281" s="4">
        <v>0</v>
      </c>
      <c r="U281" s="4">
        <v>0</v>
      </c>
      <c r="V281" s="4">
        <v>0</v>
      </c>
      <c r="W281" s="4">
        <v>0</v>
      </c>
      <c r="X281" s="4">
        <v>0</v>
      </c>
      <c r="Y281" s="4">
        <v>0</v>
      </c>
      <c r="Z281" s="4">
        <v>0</v>
      </c>
      <c r="AA281" s="4">
        <v>0</v>
      </c>
      <c r="AB281" s="4">
        <v>0</v>
      </c>
    </row>
    <row r="284" spans="1:28" x14ac:dyDescent="0.25">
      <c r="A284" s="4" t="s">
        <v>332</v>
      </c>
      <c r="P284" s="4" t="s">
        <v>332</v>
      </c>
    </row>
    <row r="285" spans="1:28" x14ac:dyDescent="0.25">
      <c r="B285" s="4" t="s">
        <v>1</v>
      </c>
      <c r="C285" s="4" t="s">
        <v>2</v>
      </c>
      <c r="D285" s="4" t="s">
        <v>3</v>
      </c>
      <c r="E285" s="4" t="s">
        <v>4</v>
      </c>
      <c r="F285" s="4" t="s">
        <v>5</v>
      </c>
      <c r="G285" s="4" t="s">
        <v>6</v>
      </c>
      <c r="H285" s="4" t="s">
        <v>7</v>
      </c>
      <c r="I285" s="4" t="s">
        <v>8</v>
      </c>
      <c r="J285" s="4" t="s">
        <v>9</v>
      </c>
      <c r="K285" s="4" t="s">
        <v>10</v>
      </c>
      <c r="L285" s="4" t="s">
        <v>11</v>
      </c>
      <c r="M285" s="4" t="s">
        <v>12</v>
      </c>
      <c r="P285" s="4"/>
    </row>
    <row r="286" spans="1:28" x14ac:dyDescent="0.25">
      <c r="A286" s="4" t="s">
        <v>13</v>
      </c>
      <c r="B286">
        <v>0</v>
      </c>
      <c r="C286">
        <v>0</v>
      </c>
      <c r="D286">
        <v>0</v>
      </c>
      <c r="E286">
        <v>0</v>
      </c>
      <c r="F286">
        <v>0</v>
      </c>
      <c r="G286">
        <v>0</v>
      </c>
      <c r="H286">
        <v>0</v>
      </c>
      <c r="I286">
        <v>0</v>
      </c>
      <c r="J286">
        <v>0</v>
      </c>
      <c r="K286">
        <v>0</v>
      </c>
      <c r="L286">
        <v>0</v>
      </c>
      <c r="M286">
        <v>0</v>
      </c>
      <c r="P286" s="4" t="s">
        <v>13</v>
      </c>
      <c r="Q286">
        <v>0</v>
      </c>
      <c r="R286">
        <v>0</v>
      </c>
      <c r="S286">
        <v>0</v>
      </c>
      <c r="T286">
        <v>0</v>
      </c>
      <c r="U286">
        <v>0</v>
      </c>
      <c r="V286">
        <v>0</v>
      </c>
      <c r="W286">
        <v>0</v>
      </c>
      <c r="X286">
        <v>0</v>
      </c>
      <c r="Y286">
        <v>0</v>
      </c>
      <c r="Z286">
        <v>0</v>
      </c>
      <c r="AA286">
        <v>0</v>
      </c>
      <c r="AB286">
        <v>0</v>
      </c>
    </row>
    <row r="287" spans="1:28" x14ac:dyDescent="0.25">
      <c r="A287" s="4" t="s">
        <v>14</v>
      </c>
      <c r="B287">
        <v>0</v>
      </c>
      <c r="C287">
        <v>0</v>
      </c>
      <c r="D287">
        <v>0</v>
      </c>
      <c r="E287">
        <v>0</v>
      </c>
      <c r="F287">
        <v>0</v>
      </c>
      <c r="G287">
        <v>0</v>
      </c>
      <c r="H287">
        <v>0</v>
      </c>
      <c r="I287">
        <v>0</v>
      </c>
      <c r="J287">
        <v>0</v>
      </c>
      <c r="K287">
        <v>0</v>
      </c>
      <c r="L287">
        <v>0</v>
      </c>
      <c r="M287">
        <v>0</v>
      </c>
      <c r="P287" s="4" t="s">
        <v>14</v>
      </c>
      <c r="Q287">
        <v>0</v>
      </c>
      <c r="R287">
        <v>0</v>
      </c>
      <c r="S287">
        <v>0</v>
      </c>
      <c r="T287">
        <v>0</v>
      </c>
      <c r="U287">
        <v>0</v>
      </c>
      <c r="V287">
        <v>0</v>
      </c>
      <c r="W287">
        <v>0</v>
      </c>
      <c r="X287">
        <v>0</v>
      </c>
      <c r="Y287">
        <v>0</v>
      </c>
      <c r="Z287">
        <v>0</v>
      </c>
      <c r="AA287">
        <v>0</v>
      </c>
      <c r="AB287">
        <v>0</v>
      </c>
    </row>
    <row r="288" spans="1:28" x14ac:dyDescent="0.25">
      <c r="A288" s="4" t="s">
        <v>15</v>
      </c>
      <c r="B288">
        <v>0</v>
      </c>
      <c r="C288">
        <v>0</v>
      </c>
      <c r="D288">
        <v>0</v>
      </c>
      <c r="E288">
        <v>0</v>
      </c>
      <c r="F288">
        <v>0</v>
      </c>
      <c r="G288">
        <v>0</v>
      </c>
      <c r="H288">
        <v>0</v>
      </c>
      <c r="I288">
        <v>0</v>
      </c>
      <c r="J288">
        <v>0</v>
      </c>
      <c r="K288">
        <v>0</v>
      </c>
      <c r="L288">
        <v>0</v>
      </c>
      <c r="M288">
        <v>0</v>
      </c>
      <c r="P288" s="4" t="s">
        <v>15</v>
      </c>
      <c r="Q288">
        <v>0</v>
      </c>
      <c r="R288">
        <v>0</v>
      </c>
      <c r="S288">
        <v>0</v>
      </c>
      <c r="T288">
        <v>0</v>
      </c>
      <c r="U288">
        <v>0</v>
      </c>
      <c r="V288">
        <v>0</v>
      </c>
      <c r="W288">
        <v>0</v>
      </c>
      <c r="X288">
        <v>0</v>
      </c>
      <c r="Y288">
        <v>0</v>
      </c>
      <c r="Z288">
        <v>0</v>
      </c>
      <c r="AA288">
        <v>0</v>
      </c>
      <c r="AB288">
        <v>0</v>
      </c>
    </row>
    <row r="289" spans="1:28" x14ac:dyDescent="0.25">
      <c r="A289" s="4" t="s">
        <v>16</v>
      </c>
      <c r="B289">
        <v>0</v>
      </c>
      <c r="C289">
        <v>0</v>
      </c>
      <c r="D289">
        <v>0</v>
      </c>
      <c r="E289">
        <v>0</v>
      </c>
      <c r="F289">
        <v>0</v>
      </c>
      <c r="G289">
        <v>0</v>
      </c>
      <c r="H289">
        <v>0</v>
      </c>
      <c r="I289">
        <v>0</v>
      </c>
      <c r="J289">
        <v>0</v>
      </c>
      <c r="K289">
        <v>0</v>
      </c>
      <c r="L289">
        <v>0</v>
      </c>
      <c r="M289">
        <v>0</v>
      </c>
      <c r="P289" s="4" t="s">
        <v>16</v>
      </c>
      <c r="Q289">
        <v>0</v>
      </c>
      <c r="R289">
        <v>0</v>
      </c>
      <c r="S289">
        <v>0</v>
      </c>
      <c r="T289">
        <v>0</v>
      </c>
      <c r="U289">
        <v>0</v>
      </c>
      <c r="V289">
        <v>0</v>
      </c>
      <c r="W289">
        <v>0</v>
      </c>
      <c r="X289">
        <v>0</v>
      </c>
      <c r="Y289">
        <v>0</v>
      </c>
      <c r="Z289">
        <v>0</v>
      </c>
      <c r="AA289">
        <v>0</v>
      </c>
      <c r="AB289">
        <v>0</v>
      </c>
    </row>
    <row r="290" spans="1:28" x14ac:dyDescent="0.25">
      <c r="A290" s="4" t="s">
        <v>17</v>
      </c>
      <c r="B290">
        <v>0</v>
      </c>
      <c r="C290">
        <v>0</v>
      </c>
      <c r="D290">
        <v>0</v>
      </c>
      <c r="E290">
        <v>0</v>
      </c>
      <c r="F290">
        <v>0</v>
      </c>
      <c r="G290">
        <v>0</v>
      </c>
      <c r="H290">
        <v>0</v>
      </c>
      <c r="I290">
        <v>0</v>
      </c>
      <c r="J290">
        <v>0</v>
      </c>
      <c r="K290">
        <v>0</v>
      </c>
      <c r="L290">
        <v>0</v>
      </c>
      <c r="M290">
        <v>0</v>
      </c>
      <c r="P290" s="4" t="s">
        <v>17</v>
      </c>
      <c r="Q290">
        <v>0</v>
      </c>
      <c r="R290">
        <v>0</v>
      </c>
      <c r="S290">
        <v>0</v>
      </c>
      <c r="T290">
        <v>0</v>
      </c>
      <c r="U290">
        <v>0</v>
      </c>
      <c r="V290">
        <v>0</v>
      </c>
      <c r="W290">
        <v>0</v>
      </c>
      <c r="X290">
        <v>0</v>
      </c>
      <c r="Y290">
        <v>0</v>
      </c>
      <c r="Z290">
        <v>0</v>
      </c>
      <c r="AA290">
        <v>0</v>
      </c>
      <c r="AB290">
        <v>0</v>
      </c>
    </row>
    <row r="291" spans="1:28" x14ac:dyDescent="0.25">
      <c r="A291" s="4" t="s">
        <v>18</v>
      </c>
      <c r="B291">
        <v>0</v>
      </c>
      <c r="C291">
        <v>0</v>
      </c>
      <c r="D291">
        <v>0</v>
      </c>
      <c r="E291">
        <v>0</v>
      </c>
      <c r="F291">
        <v>0</v>
      </c>
      <c r="G291">
        <v>0</v>
      </c>
      <c r="H291">
        <v>0</v>
      </c>
      <c r="I291">
        <v>0</v>
      </c>
      <c r="J291">
        <v>0</v>
      </c>
      <c r="K291">
        <v>0</v>
      </c>
      <c r="L291">
        <v>0</v>
      </c>
      <c r="M291">
        <v>0</v>
      </c>
      <c r="P291" s="4" t="s">
        <v>18</v>
      </c>
      <c r="Q291">
        <v>0</v>
      </c>
      <c r="R291">
        <v>0</v>
      </c>
      <c r="S291">
        <v>0</v>
      </c>
      <c r="T291">
        <v>0</v>
      </c>
      <c r="U291">
        <v>0</v>
      </c>
      <c r="V291">
        <v>0</v>
      </c>
      <c r="W291">
        <v>0</v>
      </c>
      <c r="X291">
        <v>0</v>
      </c>
      <c r="Y291">
        <v>0</v>
      </c>
      <c r="Z291">
        <v>0</v>
      </c>
      <c r="AA291">
        <v>0</v>
      </c>
      <c r="AB291">
        <v>0</v>
      </c>
    </row>
    <row r="292" spans="1:28" x14ac:dyDescent="0.25">
      <c r="A292" s="4" t="s">
        <v>19</v>
      </c>
      <c r="B292">
        <v>0</v>
      </c>
      <c r="C292">
        <v>0</v>
      </c>
      <c r="D292">
        <v>0</v>
      </c>
      <c r="E292">
        <v>1</v>
      </c>
      <c r="F292">
        <v>1</v>
      </c>
      <c r="G292">
        <v>1</v>
      </c>
      <c r="H292">
        <v>1</v>
      </c>
      <c r="I292">
        <v>1</v>
      </c>
      <c r="J292">
        <v>0</v>
      </c>
      <c r="K292">
        <v>0</v>
      </c>
      <c r="L292">
        <v>0</v>
      </c>
      <c r="M292">
        <v>0</v>
      </c>
      <c r="P292" s="4" t="s">
        <v>19</v>
      </c>
      <c r="Q292">
        <v>0</v>
      </c>
      <c r="R292">
        <v>0</v>
      </c>
      <c r="S292">
        <v>0</v>
      </c>
      <c r="T292">
        <v>1</v>
      </c>
      <c r="U292">
        <v>1</v>
      </c>
      <c r="V292">
        <v>1</v>
      </c>
      <c r="W292">
        <v>1</v>
      </c>
      <c r="X292">
        <v>1</v>
      </c>
      <c r="Y292">
        <v>0</v>
      </c>
      <c r="Z292">
        <v>0</v>
      </c>
      <c r="AA292">
        <v>0</v>
      </c>
      <c r="AB292">
        <v>0</v>
      </c>
    </row>
    <row r="293" spans="1:28" x14ac:dyDescent="0.25">
      <c r="A293" s="4" t="s">
        <v>20</v>
      </c>
      <c r="B293">
        <v>1</v>
      </c>
      <c r="C293">
        <v>1</v>
      </c>
      <c r="D293">
        <v>1</v>
      </c>
      <c r="E293">
        <v>1</v>
      </c>
      <c r="F293">
        <v>1</v>
      </c>
      <c r="G293">
        <v>1</v>
      </c>
      <c r="H293">
        <v>1</v>
      </c>
      <c r="I293">
        <v>1</v>
      </c>
      <c r="J293">
        <v>1</v>
      </c>
      <c r="K293">
        <v>1</v>
      </c>
      <c r="L293">
        <v>1</v>
      </c>
      <c r="M293">
        <v>1</v>
      </c>
      <c r="P293" s="4" t="s">
        <v>20</v>
      </c>
      <c r="Q293">
        <v>1</v>
      </c>
      <c r="R293">
        <v>1</v>
      </c>
      <c r="S293">
        <v>1</v>
      </c>
      <c r="T293">
        <v>1</v>
      </c>
      <c r="U293">
        <v>1</v>
      </c>
      <c r="V293">
        <v>1</v>
      </c>
      <c r="W293">
        <v>1</v>
      </c>
      <c r="X293">
        <v>1</v>
      </c>
      <c r="Y293">
        <v>1</v>
      </c>
      <c r="Z293">
        <v>1</v>
      </c>
      <c r="AA293">
        <v>1</v>
      </c>
      <c r="AB293">
        <v>1</v>
      </c>
    </row>
    <row r="294" spans="1:28" x14ac:dyDescent="0.25">
      <c r="A294" s="4" t="s">
        <v>21</v>
      </c>
      <c r="B294">
        <v>1</v>
      </c>
      <c r="C294">
        <v>1</v>
      </c>
      <c r="D294">
        <v>1</v>
      </c>
      <c r="E294">
        <v>1</v>
      </c>
      <c r="F294">
        <v>1</v>
      </c>
      <c r="G294">
        <v>1</v>
      </c>
      <c r="H294">
        <v>1</v>
      </c>
      <c r="I294">
        <v>1</v>
      </c>
      <c r="J294">
        <v>1</v>
      </c>
      <c r="K294">
        <v>1</v>
      </c>
      <c r="L294">
        <v>1</v>
      </c>
      <c r="M294">
        <v>1</v>
      </c>
      <c r="P294" s="4" t="s">
        <v>21</v>
      </c>
      <c r="Q294">
        <v>1</v>
      </c>
      <c r="R294">
        <v>1</v>
      </c>
      <c r="S294">
        <v>1</v>
      </c>
      <c r="T294">
        <v>1</v>
      </c>
      <c r="U294">
        <v>1</v>
      </c>
      <c r="V294">
        <v>1</v>
      </c>
      <c r="W294">
        <v>1</v>
      </c>
      <c r="X294">
        <v>1</v>
      </c>
      <c r="Y294">
        <v>1</v>
      </c>
      <c r="Z294">
        <v>1</v>
      </c>
      <c r="AA294">
        <v>1</v>
      </c>
      <c r="AB294">
        <v>1</v>
      </c>
    </row>
    <row r="295" spans="1:28" x14ac:dyDescent="0.25">
      <c r="A295" s="4" t="s">
        <v>22</v>
      </c>
      <c r="B295">
        <v>1</v>
      </c>
      <c r="C295">
        <v>1</v>
      </c>
      <c r="D295">
        <v>1</v>
      </c>
      <c r="E295">
        <v>1</v>
      </c>
      <c r="F295">
        <v>1</v>
      </c>
      <c r="G295">
        <v>1</v>
      </c>
      <c r="H295">
        <v>1</v>
      </c>
      <c r="I295">
        <v>1</v>
      </c>
      <c r="J295">
        <v>1</v>
      </c>
      <c r="K295">
        <v>1</v>
      </c>
      <c r="L295">
        <v>1</v>
      </c>
      <c r="M295">
        <v>1</v>
      </c>
      <c r="P295" s="4" t="s">
        <v>22</v>
      </c>
      <c r="Q295">
        <v>1</v>
      </c>
      <c r="R295">
        <v>1</v>
      </c>
      <c r="S295">
        <v>1</v>
      </c>
      <c r="T295">
        <v>1</v>
      </c>
      <c r="U295">
        <v>1</v>
      </c>
      <c r="V295">
        <v>1</v>
      </c>
      <c r="W295">
        <v>1</v>
      </c>
      <c r="X295">
        <v>1</v>
      </c>
      <c r="Y295">
        <v>1</v>
      </c>
      <c r="Z295">
        <v>1</v>
      </c>
      <c r="AA295">
        <v>1</v>
      </c>
      <c r="AB295">
        <v>1</v>
      </c>
    </row>
    <row r="296" spans="1:28" x14ac:dyDescent="0.25">
      <c r="A296" s="4" t="s">
        <v>23</v>
      </c>
      <c r="B296">
        <v>1</v>
      </c>
      <c r="C296">
        <v>1</v>
      </c>
      <c r="D296">
        <v>1</v>
      </c>
      <c r="E296">
        <v>1</v>
      </c>
      <c r="F296">
        <v>1</v>
      </c>
      <c r="G296">
        <v>1</v>
      </c>
      <c r="H296">
        <v>1</v>
      </c>
      <c r="I296">
        <v>1</v>
      </c>
      <c r="J296">
        <v>1</v>
      </c>
      <c r="K296">
        <v>1</v>
      </c>
      <c r="L296">
        <v>1</v>
      </c>
      <c r="M296">
        <v>1</v>
      </c>
      <c r="P296" s="4" t="s">
        <v>23</v>
      </c>
      <c r="Q296">
        <v>1</v>
      </c>
      <c r="R296">
        <v>1</v>
      </c>
      <c r="S296">
        <v>1</v>
      </c>
      <c r="T296">
        <v>1</v>
      </c>
      <c r="U296">
        <v>1</v>
      </c>
      <c r="V296">
        <v>1</v>
      </c>
      <c r="W296">
        <v>1</v>
      </c>
      <c r="X296">
        <v>1</v>
      </c>
      <c r="Y296">
        <v>1</v>
      </c>
      <c r="Z296">
        <v>1</v>
      </c>
      <c r="AA296">
        <v>1</v>
      </c>
      <c r="AB296">
        <v>1</v>
      </c>
    </row>
    <row r="297" spans="1:28" x14ac:dyDescent="0.25">
      <c r="A297" s="4" t="s">
        <v>24</v>
      </c>
      <c r="B297">
        <v>1</v>
      </c>
      <c r="C297">
        <v>1</v>
      </c>
      <c r="D297">
        <v>1</v>
      </c>
      <c r="E297">
        <v>1</v>
      </c>
      <c r="F297">
        <v>1</v>
      </c>
      <c r="G297">
        <v>1</v>
      </c>
      <c r="H297">
        <v>1</v>
      </c>
      <c r="I297">
        <v>1</v>
      </c>
      <c r="J297">
        <v>1</v>
      </c>
      <c r="K297">
        <v>1</v>
      </c>
      <c r="L297">
        <v>1</v>
      </c>
      <c r="M297">
        <v>1</v>
      </c>
      <c r="P297" s="4" t="s">
        <v>24</v>
      </c>
      <c r="Q297">
        <v>1</v>
      </c>
      <c r="R297">
        <v>1</v>
      </c>
      <c r="S297">
        <v>1</v>
      </c>
      <c r="T297">
        <v>1</v>
      </c>
      <c r="U297">
        <v>1</v>
      </c>
      <c r="V297">
        <v>1</v>
      </c>
      <c r="W297">
        <v>1</v>
      </c>
      <c r="X297">
        <v>1</v>
      </c>
      <c r="Y297">
        <v>1</v>
      </c>
      <c r="Z297">
        <v>1</v>
      </c>
      <c r="AA297">
        <v>1</v>
      </c>
      <c r="AB297">
        <v>1</v>
      </c>
    </row>
    <row r="298" spans="1:28" x14ac:dyDescent="0.25">
      <c r="A298" s="4" t="s">
        <v>25</v>
      </c>
      <c r="B298">
        <v>1</v>
      </c>
      <c r="C298">
        <v>1</v>
      </c>
      <c r="D298">
        <v>1</v>
      </c>
      <c r="E298">
        <v>1</v>
      </c>
      <c r="F298">
        <v>1</v>
      </c>
      <c r="G298">
        <v>1</v>
      </c>
      <c r="H298">
        <v>1</v>
      </c>
      <c r="I298">
        <v>1</v>
      </c>
      <c r="J298">
        <v>1</v>
      </c>
      <c r="K298">
        <v>1</v>
      </c>
      <c r="L298">
        <v>1</v>
      </c>
      <c r="M298">
        <v>1</v>
      </c>
      <c r="P298" s="4" t="s">
        <v>25</v>
      </c>
      <c r="Q298">
        <v>1</v>
      </c>
      <c r="R298">
        <v>1</v>
      </c>
      <c r="S298">
        <v>1</v>
      </c>
      <c r="T298">
        <v>1</v>
      </c>
      <c r="U298">
        <v>1</v>
      </c>
      <c r="V298">
        <v>1</v>
      </c>
      <c r="W298">
        <v>1</v>
      </c>
      <c r="X298">
        <v>1</v>
      </c>
      <c r="Y298">
        <v>1</v>
      </c>
      <c r="Z298">
        <v>1</v>
      </c>
      <c r="AA298">
        <v>1</v>
      </c>
      <c r="AB298">
        <v>1</v>
      </c>
    </row>
    <row r="299" spans="1:28" x14ac:dyDescent="0.25">
      <c r="A299" s="4" t="s">
        <v>26</v>
      </c>
      <c r="B299">
        <v>1</v>
      </c>
      <c r="C299">
        <v>1</v>
      </c>
      <c r="D299">
        <v>1</v>
      </c>
      <c r="E299">
        <v>1</v>
      </c>
      <c r="F299">
        <v>1</v>
      </c>
      <c r="G299">
        <v>1</v>
      </c>
      <c r="H299">
        <v>1</v>
      </c>
      <c r="I299">
        <v>1</v>
      </c>
      <c r="J299">
        <v>1</v>
      </c>
      <c r="K299">
        <v>1</v>
      </c>
      <c r="L299">
        <v>1</v>
      </c>
      <c r="M299">
        <v>1</v>
      </c>
      <c r="P299" s="4" t="s">
        <v>26</v>
      </c>
      <c r="Q299">
        <v>1</v>
      </c>
      <c r="R299">
        <v>1</v>
      </c>
      <c r="S299">
        <v>1</v>
      </c>
      <c r="T299">
        <v>1</v>
      </c>
      <c r="U299">
        <v>1</v>
      </c>
      <c r="V299">
        <v>1</v>
      </c>
      <c r="W299">
        <v>1</v>
      </c>
      <c r="X299">
        <v>1</v>
      </c>
      <c r="Y299">
        <v>1</v>
      </c>
      <c r="Z299">
        <v>1</v>
      </c>
      <c r="AA299">
        <v>1</v>
      </c>
      <c r="AB299">
        <v>1</v>
      </c>
    </row>
    <row r="300" spans="1:28" x14ac:dyDescent="0.25">
      <c r="A300" s="4" t="s">
        <v>27</v>
      </c>
      <c r="B300">
        <v>1</v>
      </c>
      <c r="C300">
        <v>1</v>
      </c>
      <c r="D300">
        <v>1</v>
      </c>
      <c r="E300">
        <v>1</v>
      </c>
      <c r="F300">
        <v>1</v>
      </c>
      <c r="G300">
        <v>1</v>
      </c>
      <c r="H300">
        <v>1</v>
      </c>
      <c r="I300">
        <v>1</v>
      </c>
      <c r="J300">
        <v>1</v>
      </c>
      <c r="K300">
        <v>1</v>
      </c>
      <c r="L300">
        <v>1</v>
      </c>
      <c r="M300">
        <v>1</v>
      </c>
      <c r="P300" s="4" t="s">
        <v>27</v>
      </c>
      <c r="Q300">
        <v>1</v>
      </c>
      <c r="R300">
        <v>1</v>
      </c>
      <c r="S300">
        <v>1</v>
      </c>
      <c r="T300">
        <v>1</v>
      </c>
      <c r="U300">
        <v>1</v>
      </c>
      <c r="V300">
        <v>1</v>
      </c>
      <c r="W300">
        <v>1</v>
      </c>
      <c r="X300">
        <v>1</v>
      </c>
      <c r="Y300">
        <v>1</v>
      </c>
      <c r="Z300">
        <v>1</v>
      </c>
      <c r="AA300">
        <v>1</v>
      </c>
      <c r="AB300">
        <v>1</v>
      </c>
    </row>
    <row r="301" spans="1:28" x14ac:dyDescent="0.25">
      <c r="A301" s="4" t="s">
        <v>28</v>
      </c>
      <c r="B301">
        <v>1</v>
      </c>
      <c r="C301">
        <v>1</v>
      </c>
      <c r="D301">
        <v>1</v>
      </c>
      <c r="E301">
        <v>1</v>
      </c>
      <c r="F301">
        <v>1</v>
      </c>
      <c r="G301">
        <v>1</v>
      </c>
      <c r="H301">
        <v>1</v>
      </c>
      <c r="I301">
        <v>1</v>
      </c>
      <c r="J301">
        <v>1</v>
      </c>
      <c r="K301">
        <v>1</v>
      </c>
      <c r="L301">
        <v>1</v>
      </c>
      <c r="M301">
        <v>1</v>
      </c>
      <c r="P301" s="4" t="s">
        <v>28</v>
      </c>
      <c r="Q301">
        <v>1</v>
      </c>
      <c r="R301">
        <v>1</v>
      </c>
      <c r="S301">
        <v>1</v>
      </c>
      <c r="T301">
        <v>1</v>
      </c>
      <c r="U301">
        <v>1</v>
      </c>
      <c r="V301">
        <v>1</v>
      </c>
      <c r="W301">
        <v>1</v>
      </c>
      <c r="X301">
        <v>1</v>
      </c>
      <c r="Y301">
        <v>1</v>
      </c>
      <c r="Z301">
        <v>1</v>
      </c>
      <c r="AA301">
        <v>1</v>
      </c>
      <c r="AB301">
        <v>1</v>
      </c>
    </row>
    <row r="302" spans="1:28" x14ac:dyDescent="0.25">
      <c r="A302" s="4" t="s">
        <v>29</v>
      </c>
      <c r="B302">
        <v>1</v>
      </c>
      <c r="C302">
        <v>1</v>
      </c>
      <c r="D302">
        <v>1</v>
      </c>
      <c r="E302">
        <v>1</v>
      </c>
      <c r="F302">
        <v>1</v>
      </c>
      <c r="G302">
        <v>1</v>
      </c>
      <c r="H302">
        <v>1</v>
      </c>
      <c r="I302">
        <v>1</v>
      </c>
      <c r="J302">
        <v>1</v>
      </c>
      <c r="K302">
        <v>1</v>
      </c>
      <c r="L302">
        <v>1</v>
      </c>
      <c r="M302">
        <v>1</v>
      </c>
      <c r="P302" s="4" t="s">
        <v>29</v>
      </c>
      <c r="Q302">
        <v>1</v>
      </c>
      <c r="R302">
        <v>1</v>
      </c>
      <c r="S302">
        <v>1</v>
      </c>
      <c r="T302">
        <v>1</v>
      </c>
      <c r="U302">
        <v>1</v>
      </c>
      <c r="V302">
        <v>1</v>
      </c>
      <c r="W302">
        <v>1</v>
      </c>
      <c r="X302">
        <v>1</v>
      </c>
      <c r="Y302">
        <v>1</v>
      </c>
      <c r="Z302">
        <v>1</v>
      </c>
      <c r="AA302">
        <v>1</v>
      </c>
      <c r="AB302">
        <v>1</v>
      </c>
    </row>
    <row r="303" spans="1:28" x14ac:dyDescent="0.25">
      <c r="A303" s="4" t="s">
        <v>30</v>
      </c>
      <c r="B303">
        <v>1</v>
      </c>
      <c r="C303">
        <v>1</v>
      </c>
      <c r="D303">
        <v>1</v>
      </c>
      <c r="E303">
        <v>1</v>
      </c>
      <c r="F303">
        <v>1</v>
      </c>
      <c r="G303">
        <v>1</v>
      </c>
      <c r="H303">
        <v>1</v>
      </c>
      <c r="I303">
        <v>1</v>
      </c>
      <c r="J303">
        <v>1</v>
      </c>
      <c r="K303">
        <v>1</v>
      </c>
      <c r="L303">
        <v>1</v>
      </c>
      <c r="M303">
        <v>1</v>
      </c>
      <c r="P303" s="4" t="s">
        <v>30</v>
      </c>
      <c r="Q303">
        <v>0.64539853745651543</v>
      </c>
      <c r="R303">
        <v>0.99453446628374897</v>
      </c>
      <c r="S303">
        <v>1</v>
      </c>
      <c r="T303">
        <v>1</v>
      </c>
      <c r="U303">
        <v>1</v>
      </c>
      <c r="V303">
        <v>1</v>
      </c>
      <c r="W303">
        <v>1</v>
      </c>
      <c r="X303">
        <v>1</v>
      </c>
      <c r="Y303">
        <v>1</v>
      </c>
      <c r="Z303">
        <v>1</v>
      </c>
      <c r="AA303">
        <v>1</v>
      </c>
      <c r="AB303">
        <v>1</v>
      </c>
    </row>
    <row r="304" spans="1:28" x14ac:dyDescent="0.25">
      <c r="A304" s="4" t="s">
        <v>31</v>
      </c>
      <c r="B304">
        <v>0</v>
      </c>
      <c r="C304">
        <v>0</v>
      </c>
      <c r="D304">
        <v>0</v>
      </c>
      <c r="E304">
        <v>1</v>
      </c>
      <c r="F304">
        <v>1</v>
      </c>
      <c r="G304">
        <v>1</v>
      </c>
      <c r="H304">
        <v>1</v>
      </c>
      <c r="I304">
        <v>1</v>
      </c>
      <c r="J304">
        <v>0</v>
      </c>
      <c r="K304">
        <v>0</v>
      </c>
      <c r="L304">
        <v>0</v>
      </c>
      <c r="M304">
        <v>0</v>
      </c>
      <c r="P304" s="4" t="s">
        <v>31</v>
      </c>
      <c r="Q304">
        <v>0</v>
      </c>
      <c r="R304">
        <v>0</v>
      </c>
      <c r="S304">
        <v>0</v>
      </c>
      <c r="T304">
        <v>0</v>
      </c>
      <c r="U304">
        <v>1</v>
      </c>
      <c r="V304">
        <v>1</v>
      </c>
      <c r="W304">
        <v>1</v>
      </c>
      <c r="X304">
        <v>1</v>
      </c>
      <c r="Y304">
        <v>0</v>
      </c>
      <c r="Z304">
        <v>0</v>
      </c>
      <c r="AA304">
        <v>0</v>
      </c>
      <c r="AB304">
        <v>0</v>
      </c>
    </row>
    <row r="305" spans="1:28" x14ac:dyDescent="0.25">
      <c r="A305" s="4" t="s">
        <v>32</v>
      </c>
      <c r="B305">
        <v>0</v>
      </c>
      <c r="C305">
        <v>0</v>
      </c>
      <c r="D305">
        <v>0</v>
      </c>
      <c r="E305">
        <v>0</v>
      </c>
      <c r="F305">
        <v>0</v>
      </c>
      <c r="G305">
        <v>0</v>
      </c>
      <c r="H305">
        <v>0</v>
      </c>
      <c r="I305">
        <v>0</v>
      </c>
      <c r="J305">
        <v>0</v>
      </c>
      <c r="K305">
        <v>0</v>
      </c>
      <c r="L305">
        <v>0</v>
      </c>
      <c r="M305">
        <v>0</v>
      </c>
      <c r="P305" s="4" t="s">
        <v>32</v>
      </c>
      <c r="Q305">
        <v>0</v>
      </c>
      <c r="R305">
        <v>0</v>
      </c>
      <c r="S305">
        <v>0</v>
      </c>
      <c r="T305">
        <v>0</v>
      </c>
      <c r="U305">
        <v>0</v>
      </c>
      <c r="V305">
        <v>0</v>
      </c>
      <c r="W305">
        <v>0</v>
      </c>
      <c r="X305">
        <v>0</v>
      </c>
      <c r="Y305">
        <v>0</v>
      </c>
      <c r="Z305">
        <v>0</v>
      </c>
      <c r="AA305">
        <v>0</v>
      </c>
      <c r="AB305">
        <v>0</v>
      </c>
    </row>
    <row r="306" spans="1:28" x14ac:dyDescent="0.25">
      <c r="A306" s="4" t="s">
        <v>33</v>
      </c>
      <c r="B306">
        <v>0</v>
      </c>
      <c r="C306">
        <v>0</v>
      </c>
      <c r="D306">
        <v>0</v>
      </c>
      <c r="E306">
        <v>0</v>
      </c>
      <c r="F306">
        <v>0</v>
      </c>
      <c r="G306">
        <v>0</v>
      </c>
      <c r="H306">
        <v>0</v>
      </c>
      <c r="I306">
        <v>0</v>
      </c>
      <c r="J306">
        <v>0</v>
      </c>
      <c r="K306">
        <v>0</v>
      </c>
      <c r="L306">
        <v>0</v>
      </c>
      <c r="M306">
        <v>0</v>
      </c>
      <c r="P306" s="4" t="s">
        <v>33</v>
      </c>
      <c r="Q306">
        <v>0</v>
      </c>
      <c r="R306">
        <v>0</v>
      </c>
      <c r="S306">
        <v>0</v>
      </c>
      <c r="T306">
        <v>0</v>
      </c>
      <c r="U306">
        <v>0</v>
      </c>
      <c r="V306">
        <v>0</v>
      </c>
      <c r="W306">
        <v>0</v>
      </c>
      <c r="X306">
        <v>0</v>
      </c>
      <c r="Y306">
        <v>0</v>
      </c>
      <c r="Z306">
        <v>0</v>
      </c>
      <c r="AA306">
        <v>0</v>
      </c>
      <c r="AB306">
        <v>0</v>
      </c>
    </row>
    <row r="307" spans="1:28" x14ac:dyDescent="0.25">
      <c r="A307" s="4" t="s">
        <v>34</v>
      </c>
      <c r="B307">
        <v>0</v>
      </c>
      <c r="C307">
        <v>0</v>
      </c>
      <c r="D307">
        <v>0</v>
      </c>
      <c r="E307">
        <v>0</v>
      </c>
      <c r="F307">
        <v>0</v>
      </c>
      <c r="G307">
        <v>0</v>
      </c>
      <c r="H307">
        <v>0</v>
      </c>
      <c r="I307">
        <v>0</v>
      </c>
      <c r="J307">
        <v>0</v>
      </c>
      <c r="K307">
        <v>0</v>
      </c>
      <c r="L307">
        <v>0</v>
      </c>
      <c r="M307">
        <v>0</v>
      </c>
      <c r="P307" s="4" t="s">
        <v>34</v>
      </c>
      <c r="Q307">
        <v>0</v>
      </c>
      <c r="R307">
        <v>0</v>
      </c>
      <c r="S307">
        <v>0</v>
      </c>
      <c r="T307">
        <v>0</v>
      </c>
      <c r="U307">
        <v>0</v>
      </c>
      <c r="V307">
        <v>0</v>
      </c>
      <c r="W307">
        <v>0</v>
      </c>
      <c r="X307">
        <v>0</v>
      </c>
      <c r="Y307">
        <v>0</v>
      </c>
      <c r="Z307">
        <v>0</v>
      </c>
      <c r="AA307">
        <v>0</v>
      </c>
      <c r="AB307">
        <v>0</v>
      </c>
    </row>
    <row r="308" spans="1:28" x14ac:dyDescent="0.25">
      <c r="A308" s="4" t="s">
        <v>35</v>
      </c>
      <c r="B308">
        <v>0</v>
      </c>
      <c r="C308">
        <v>0</v>
      </c>
      <c r="D308">
        <v>0</v>
      </c>
      <c r="E308">
        <v>0</v>
      </c>
      <c r="F308">
        <v>0</v>
      </c>
      <c r="G308">
        <v>0</v>
      </c>
      <c r="H308">
        <v>0</v>
      </c>
      <c r="I308">
        <v>0</v>
      </c>
      <c r="J308">
        <v>0</v>
      </c>
      <c r="K308">
        <v>0</v>
      </c>
      <c r="L308">
        <v>0</v>
      </c>
      <c r="M308">
        <v>0</v>
      </c>
      <c r="P308" s="4" t="s">
        <v>35</v>
      </c>
      <c r="Q308">
        <v>0</v>
      </c>
      <c r="R308">
        <v>0</v>
      </c>
      <c r="S308">
        <v>0</v>
      </c>
      <c r="T308">
        <v>0</v>
      </c>
      <c r="U308">
        <v>0</v>
      </c>
      <c r="V308">
        <v>0</v>
      </c>
      <c r="W308">
        <v>0</v>
      </c>
      <c r="X308">
        <v>0</v>
      </c>
      <c r="Y308">
        <v>0</v>
      </c>
      <c r="Z308">
        <v>0</v>
      </c>
      <c r="AA308">
        <v>0</v>
      </c>
      <c r="AB308">
        <v>0</v>
      </c>
    </row>
    <row r="309" spans="1:28" x14ac:dyDescent="0.25">
      <c r="A309" s="4" t="s">
        <v>36</v>
      </c>
      <c r="B309">
        <v>0</v>
      </c>
      <c r="C309">
        <v>0</v>
      </c>
      <c r="D309">
        <v>0</v>
      </c>
      <c r="E309">
        <v>0</v>
      </c>
      <c r="F309">
        <v>0</v>
      </c>
      <c r="G309">
        <v>0</v>
      </c>
      <c r="H309">
        <v>0</v>
      </c>
      <c r="I309">
        <v>0</v>
      </c>
      <c r="J309">
        <v>0</v>
      </c>
      <c r="K309">
        <v>0</v>
      </c>
      <c r="L309">
        <v>0</v>
      </c>
      <c r="M309">
        <v>0</v>
      </c>
      <c r="P309" s="4" t="s">
        <v>36</v>
      </c>
      <c r="Q309">
        <v>0</v>
      </c>
      <c r="R309">
        <v>0</v>
      </c>
      <c r="S309">
        <v>0</v>
      </c>
      <c r="T309">
        <v>0</v>
      </c>
      <c r="U309">
        <v>0</v>
      </c>
      <c r="V309">
        <v>0</v>
      </c>
      <c r="W309">
        <v>0</v>
      </c>
      <c r="X309">
        <v>0</v>
      </c>
      <c r="Y309">
        <v>0</v>
      </c>
      <c r="Z309">
        <v>0</v>
      </c>
      <c r="AA309">
        <v>0</v>
      </c>
      <c r="AB309">
        <v>0</v>
      </c>
    </row>
    <row r="312" spans="1:28" x14ac:dyDescent="0.25">
      <c r="A312" s="4" t="s">
        <v>333</v>
      </c>
      <c r="P312" s="4" t="s">
        <v>333</v>
      </c>
      <c r="Q312" s="4"/>
      <c r="R312" s="4"/>
      <c r="S312" s="4"/>
      <c r="T312" s="4"/>
      <c r="U312" s="4"/>
      <c r="V312" s="4"/>
      <c r="W312" s="4"/>
      <c r="X312" s="4"/>
      <c r="Y312" s="4"/>
      <c r="Z312" s="4"/>
      <c r="AA312" s="4"/>
      <c r="AB312" s="4"/>
    </row>
    <row r="313" spans="1:28" x14ac:dyDescent="0.25">
      <c r="A313" s="4"/>
      <c r="B313" s="4" t="s">
        <v>1</v>
      </c>
      <c r="C313" s="4" t="s">
        <v>2</v>
      </c>
      <c r="D313" s="4" t="s">
        <v>3</v>
      </c>
      <c r="E313" s="4" t="s">
        <v>4</v>
      </c>
      <c r="F313" s="4" t="s">
        <v>5</v>
      </c>
      <c r="G313" s="4" t="s">
        <v>6</v>
      </c>
      <c r="H313" s="4" t="s">
        <v>7</v>
      </c>
      <c r="I313" s="4" t="s">
        <v>8</v>
      </c>
      <c r="J313" s="4" t="s">
        <v>9</v>
      </c>
      <c r="K313" s="4" t="s">
        <v>10</v>
      </c>
      <c r="L313" s="4" t="s">
        <v>11</v>
      </c>
      <c r="M313" s="4" t="s">
        <v>12</v>
      </c>
      <c r="P313" s="4"/>
      <c r="Q313" s="4" t="s">
        <v>1</v>
      </c>
      <c r="R313" s="4" t="s">
        <v>2</v>
      </c>
      <c r="S313" s="4" t="s">
        <v>3</v>
      </c>
      <c r="T313" s="4" t="s">
        <v>4</v>
      </c>
      <c r="U313" s="4" t="s">
        <v>5</v>
      </c>
      <c r="V313" s="4" t="s">
        <v>6</v>
      </c>
      <c r="W313" s="4" t="s">
        <v>7</v>
      </c>
      <c r="X313" s="4" t="s">
        <v>8</v>
      </c>
      <c r="Y313" s="4" t="s">
        <v>9</v>
      </c>
      <c r="Z313" s="4" t="s">
        <v>10</v>
      </c>
      <c r="AA313" s="4" t="s">
        <v>11</v>
      </c>
      <c r="AB313" s="4" t="s">
        <v>12</v>
      </c>
    </row>
    <row r="314" spans="1:28" x14ac:dyDescent="0.25">
      <c r="A314" s="4" t="s">
        <v>13</v>
      </c>
      <c r="B314">
        <v>-11353.799462857161</v>
      </c>
      <c r="C314">
        <v>-11721.047702857115</v>
      </c>
      <c r="D314">
        <v>-10986.551222857146</v>
      </c>
      <c r="E314">
        <v>-7681.317062857137</v>
      </c>
      <c r="F314">
        <v>-3641.5864228571572</v>
      </c>
      <c r="G314">
        <v>765.39245714286426</v>
      </c>
      <c r="H314">
        <v>3703.3783771428598</v>
      </c>
      <c r="I314">
        <v>3703.3783771428598</v>
      </c>
      <c r="J314">
        <v>4805.1230971428722</v>
      </c>
      <c r="K314">
        <v>-336.35226285714816</v>
      </c>
      <c r="L314">
        <v>-3641.5864228571572</v>
      </c>
      <c r="M314">
        <v>-6579.5723428571528</v>
      </c>
      <c r="P314" s="4" t="s">
        <v>13</v>
      </c>
      <c r="Q314" s="4">
        <v>-12683.153462857161</v>
      </c>
      <c r="R314" s="4">
        <v>-13077.779702857115</v>
      </c>
      <c r="S314" s="4">
        <v>-12288.527222857145</v>
      </c>
      <c r="T314" s="4">
        <v>-8736.8910628571357</v>
      </c>
      <c r="U314" s="4">
        <v>-4396.0024228571583</v>
      </c>
      <c r="V314" s="4">
        <v>339.51245714286506</v>
      </c>
      <c r="W314" s="4">
        <v>3496.52237714286</v>
      </c>
      <c r="X314" s="4">
        <v>3496.52237714286</v>
      </c>
      <c r="Y314" s="4">
        <v>4680.4010971428734</v>
      </c>
      <c r="Z314" s="4">
        <v>-844.36626285714829</v>
      </c>
      <c r="AA314" s="4">
        <v>-4396.0024228571583</v>
      </c>
      <c r="AB314" s="4">
        <v>-7553.0123428571533</v>
      </c>
    </row>
    <row r="315" spans="1:28" x14ac:dyDescent="0.25">
      <c r="A315" s="4" t="s">
        <v>14</v>
      </c>
      <c r="B315">
        <v>-12455.544182857146</v>
      </c>
      <c r="C315">
        <v>-11721.047702857115</v>
      </c>
      <c r="D315">
        <v>-12455.544182857146</v>
      </c>
      <c r="E315">
        <v>-8048.5653028571505</v>
      </c>
      <c r="F315">
        <v>-4743.3311428571415</v>
      </c>
      <c r="G315">
        <v>398.14421714285072</v>
      </c>
      <c r="H315">
        <v>3336.1301371428749</v>
      </c>
      <c r="I315">
        <v>2968.8818971428609</v>
      </c>
      <c r="J315">
        <v>4437.8748571428587</v>
      </c>
      <c r="K315">
        <v>-1805.3452228571459</v>
      </c>
      <c r="L315">
        <v>-4376.0829028571279</v>
      </c>
      <c r="M315">
        <v>-8415.813542857135</v>
      </c>
      <c r="P315" s="4" t="s">
        <v>14</v>
      </c>
      <c r="Q315" s="4">
        <v>-13867.032182857143</v>
      </c>
      <c r="R315" s="4">
        <v>-13077.779702857115</v>
      </c>
      <c r="S315" s="4">
        <v>-13867.032182857143</v>
      </c>
      <c r="T315" s="4">
        <v>-9131.5173028571517</v>
      </c>
      <c r="U315" s="4">
        <v>-5579.8811428571407</v>
      </c>
      <c r="V315" s="4">
        <v>-55.113782857149999</v>
      </c>
      <c r="W315" s="4">
        <v>3101.8961371428763</v>
      </c>
      <c r="X315" s="4">
        <v>2707.2698971428613</v>
      </c>
      <c r="Y315" s="4">
        <v>4285.7748571428583</v>
      </c>
      <c r="Z315" s="4">
        <v>-2422.8712228571458</v>
      </c>
      <c r="AA315" s="4">
        <v>-5185.2549028571266</v>
      </c>
      <c r="AB315" s="4">
        <v>-9526.1435428571349</v>
      </c>
    </row>
    <row r="316" spans="1:28" x14ac:dyDescent="0.25">
      <c r="A316" s="4" t="s">
        <v>15</v>
      </c>
      <c r="B316">
        <v>-13190.040662857144</v>
      </c>
      <c r="C316">
        <v>-12822.792422857157</v>
      </c>
      <c r="D316">
        <v>-12822.792422857157</v>
      </c>
      <c r="E316">
        <v>-9517.5582628571483</v>
      </c>
      <c r="F316">
        <v>-5477.8276228571394</v>
      </c>
      <c r="G316">
        <v>-336.35226285714816</v>
      </c>
      <c r="H316">
        <v>2968.8818971428609</v>
      </c>
      <c r="I316">
        <v>2234.385417142862</v>
      </c>
      <c r="J316">
        <v>3703.3783771428598</v>
      </c>
      <c r="K316">
        <v>-2539.8417028571166</v>
      </c>
      <c r="L316">
        <v>-4743.3311428571415</v>
      </c>
      <c r="M316">
        <v>-8783.0617828571503</v>
      </c>
      <c r="P316" s="4" t="s">
        <v>15</v>
      </c>
      <c r="Q316" s="4">
        <v>-14656.284662857142</v>
      </c>
      <c r="R316" s="4">
        <v>-14261.658422857159</v>
      </c>
      <c r="S316" s="4">
        <v>-14261.658422857159</v>
      </c>
      <c r="T316" s="4">
        <v>-10710.02226285715</v>
      </c>
      <c r="U316" s="4">
        <v>-6369.1336228571399</v>
      </c>
      <c r="V316" s="4">
        <v>-844.36626285714829</v>
      </c>
      <c r="W316" s="4">
        <v>2707.2698971428613</v>
      </c>
      <c r="X316" s="4">
        <v>1918.0174171428625</v>
      </c>
      <c r="Y316" s="4">
        <v>3496.52237714286</v>
      </c>
      <c r="Z316" s="4">
        <v>-3212.123702857114</v>
      </c>
      <c r="AA316" s="4">
        <v>-5579.8811428571407</v>
      </c>
      <c r="AB316" s="4">
        <v>-9920.7697828571509</v>
      </c>
    </row>
    <row r="317" spans="1:28" x14ac:dyDescent="0.25">
      <c r="A317" s="4" t="s">
        <v>16</v>
      </c>
      <c r="B317">
        <v>-13557.288902857126</v>
      </c>
      <c r="C317">
        <v>-13924.537142857142</v>
      </c>
      <c r="D317">
        <v>-14291.785382857157</v>
      </c>
      <c r="E317">
        <v>-10252.054742857119</v>
      </c>
      <c r="F317">
        <v>-6579.5723428571528</v>
      </c>
      <c r="G317">
        <v>-1070.8487428571179</v>
      </c>
      <c r="H317">
        <v>2234.385417142862</v>
      </c>
      <c r="I317">
        <v>1132.6406971428496</v>
      </c>
      <c r="J317">
        <v>2968.8818971428609</v>
      </c>
      <c r="K317">
        <v>-3274.3381828571437</v>
      </c>
      <c r="L317">
        <v>-5845.0758628571257</v>
      </c>
      <c r="M317">
        <v>-9150.3100228571348</v>
      </c>
      <c r="P317" s="4" t="s">
        <v>16</v>
      </c>
      <c r="Q317" s="4">
        <v>-15050.910902857126</v>
      </c>
      <c r="R317" s="4">
        <v>-15445.537142857142</v>
      </c>
      <c r="S317" s="4">
        <v>-15840.163382857154</v>
      </c>
      <c r="T317" s="4">
        <v>-11499.274742857117</v>
      </c>
      <c r="U317" s="4">
        <v>-7553.0123428571533</v>
      </c>
      <c r="V317" s="4">
        <v>-1633.6187428571166</v>
      </c>
      <c r="W317" s="4">
        <v>1918.0174171428625</v>
      </c>
      <c r="X317" s="4">
        <v>734.1386971428492</v>
      </c>
      <c r="Y317" s="4">
        <v>2707.2698971428613</v>
      </c>
      <c r="Z317" s="4">
        <v>-4001.3761828571442</v>
      </c>
      <c r="AA317" s="4">
        <v>-6763.7598628571232</v>
      </c>
      <c r="AB317" s="4">
        <v>-10315.396022857134</v>
      </c>
    </row>
    <row r="318" spans="1:28" x14ac:dyDescent="0.25">
      <c r="A318" s="4" t="s">
        <v>17</v>
      </c>
      <c r="B318">
        <v>-14291.785382857157</v>
      </c>
      <c r="C318">
        <v>-14659.03362285714</v>
      </c>
      <c r="D318">
        <v>-14291.785382857157</v>
      </c>
      <c r="E318">
        <v>-10252.054742857119</v>
      </c>
      <c r="F318">
        <v>-6579.5723428571528</v>
      </c>
      <c r="G318">
        <v>-1805.3452228571459</v>
      </c>
      <c r="H318">
        <v>2234.385417142862</v>
      </c>
      <c r="I318">
        <v>765.39245714286426</v>
      </c>
      <c r="J318">
        <v>2234.385417142862</v>
      </c>
      <c r="K318">
        <v>-4376.0829028571279</v>
      </c>
      <c r="L318">
        <v>-5845.0758628571257</v>
      </c>
      <c r="M318">
        <v>-9517.5582628571483</v>
      </c>
      <c r="P318" s="4" t="s">
        <v>17</v>
      </c>
      <c r="Q318" s="4">
        <v>-15840.163382857154</v>
      </c>
      <c r="R318" s="4">
        <v>-16234.789622857141</v>
      </c>
      <c r="S318" s="4">
        <v>-15840.163382857154</v>
      </c>
      <c r="T318" s="4">
        <v>-11499.274742857117</v>
      </c>
      <c r="U318" s="4">
        <v>-7553.0123428571533</v>
      </c>
      <c r="V318" s="4">
        <v>-2422.8712228571458</v>
      </c>
      <c r="W318" s="4">
        <v>1918.0174171428625</v>
      </c>
      <c r="X318" s="4">
        <v>339.51245714286506</v>
      </c>
      <c r="Y318" s="4">
        <v>1918.0174171428625</v>
      </c>
      <c r="Z318" s="4">
        <v>-5185.2549028571266</v>
      </c>
      <c r="AA318" s="4">
        <v>-6763.7598628571232</v>
      </c>
      <c r="AB318" s="4">
        <v>-10710.02226285715</v>
      </c>
    </row>
    <row r="319" spans="1:28" x14ac:dyDescent="0.25">
      <c r="A319" s="4" t="s">
        <v>18</v>
      </c>
      <c r="B319">
        <v>-14659.03362285714</v>
      </c>
      <c r="C319">
        <v>-15026.281862857126</v>
      </c>
      <c r="D319">
        <v>-14291.785382857157</v>
      </c>
      <c r="E319">
        <v>-10619.302982857131</v>
      </c>
      <c r="F319">
        <v>-6579.5723428571528</v>
      </c>
      <c r="G319">
        <v>1132.6406971428496</v>
      </c>
      <c r="H319">
        <v>2234.385417142862</v>
      </c>
      <c r="I319">
        <v>398.14421714285072</v>
      </c>
      <c r="J319">
        <v>2968.8818971428609</v>
      </c>
      <c r="K319">
        <v>-5110.579382857155</v>
      </c>
      <c r="L319">
        <v>-6579.5723428571528</v>
      </c>
      <c r="M319">
        <v>-8415.813542857135</v>
      </c>
      <c r="P319" s="4" t="s">
        <v>18</v>
      </c>
      <c r="Q319" s="4">
        <v>-16234.789622857141</v>
      </c>
      <c r="R319" s="4">
        <v>-16629.415862857124</v>
      </c>
      <c r="S319" s="4">
        <v>-15840.163382857154</v>
      </c>
      <c r="T319" s="4">
        <v>-11893.900982857132</v>
      </c>
      <c r="U319" s="4">
        <v>-7553.0123428571533</v>
      </c>
      <c r="V319" s="4">
        <v>734.1386971428492</v>
      </c>
      <c r="W319" s="4">
        <v>1918.0174171428625</v>
      </c>
      <c r="X319" s="4">
        <v>-55.113782857149999</v>
      </c>
      <c r="Y319" s="4">
        <v>2707.2698971428613</v>
      </c>
      <c r="Z319" s="4">
        <v>-5974.5073828571567</v>
      </c>
      <c r="AA319" s="4">
        <v>-7553.0123428571533</v>
      </c>
      <c r="AB319" s="4">
        <v>-9526.1435428571349</v>
      </c>
    </row>
    <row r="320" spans="1:28" x14ac:dyDescent="0.25">
      <c r="A320" s="4" t="s">
        <v>19</v>
      </c>
      <c r="B320">
        <v>-15393.530102857138</v>
      </c>
      <c r="C320">
        <v>-15393.530102857138</v>
      </c>
      <c r="D320">
        <v>-13924.537142857142</v>
      </c>
      <c r="E320">
        <v>-7846.8888131086915</v>
      </c>
      <c r="F320">
        <v>2222.6575915264948</v>
      </c>
      <c r="G320">
        <v>9303.9550212311096</v>
      </c>
      <c r="H320">
        <v>8808.8702097265395</v>
      </c>
      <c r="I320">
        <v>3135.9797090499114</v>
      </c>
      <c r="J320">
        <v>3703.3783771428598</v>
      </c>
      <c r="K320">
        <v>-4008.8346628571435</v>
      </c>
      <c r="L320">
        <v>-5477.8276228571394</v>
      </c>
      <c r="M320">
        <v>-7314.0688228571235</v>
      </c>
      <c r="P320" s="4" t="s">
        <v>19</v>
      </c>
      <c r="Q320" s="4">
        <v>-17024.042102857136</v>
      </c>
      <c r="R320" s="4">
        <v>-17024.042102857136</v>
      </c>
      <c r="S320" s="4">
        <v>-15445.537142857142</v>
      </c>
      <c r="T320" s="4">
        <v>-8731.0165032859913</v>
      </c>
      <c r="U320" s="4">
        <v>2377.6598875782011</v>
      </c>
      <c r="V320" s="4">
        <v>10090.95520807962</v>
      </c>
      <c r="W320" s="4">
        <v>9494.4046442359268</v>
      </c>
      <c r="X320" s="4">
        <v>3087.5955778429725</v>
      </c>
      <c r="Y320" s="4">
        <v>3496.52237714286</v>
      </c>
      <c r="Z320" s="4">
        <v>-4790.6286628571415</v>
      </c>
      <c r="AA320" s="4">
        <v>-6369.1336228571399</v>
      </c>
      <c r="AB320" s="4">
        <v>-8342.2648228571215</v>
      </c>
    </row>
    <row r="321" spans="1:28" x14ac:dyDescent="0.25">
      <c r="A321" s="4" t="s">
        <v>20</v>
      </c>
      <c r="B321">
        <v>-10659.470339941636</v>
      </c>
      <c r="C321">
        <v>-8189.9151677168193</v>
      </c>
      <c r="D321">
        <v>-4435.2513304373624</v>
      </c>
      <c r="E321">
        <v>2764.4333508929976</v>
      </c>
      <c r="F321">
        <v>14577.934198410123</v>
      </c>
      <c r="G321">
        <v>17275.069916502023</v>
      </c>
      <c r="H321">
        <v>19537.511793017809</v>
      </c>
      <c r="I321">
        <v>14842.135648576535</v>
      </c>
      <c r="J321">
        <v>11096.977141935067</v>
      </c>
      <c r="K321">
        <v>9821.2254353808239</v>
      </c>
      <c r="L321">
        <v>2180.5135075661037</v>
      </c>
      <c r="M321">
        <v>-5150.5708283091608</v>
      </c>
      <c r="P321" s="4" t="s">
        <v>20</v>
      </c>
      <c r="Q321" s="4">
        <v>-5772.6142857907962</v>
      </c>
      <c r="R321" s="4">
        <v>-2972.487695543663</v>
      </c>
      <c r="S321" s="4">
        <v>-2097.0984157261573</v>
      </c>
      <c r="T321" s="4">
        <v>4538.6275152479948</v>
      </c>
      <c r="U321" s="4">
        <v>17337.646751722783</v>
      </c>
      <c r="V321" s="4">
        <v>20267.065867819256</v>
      </c>
      <c r="W321" s="4">
        <v>22765.606123001409</v>
      </c>
      <c r="X321" s="4">
        <v>17675.035900082377</v>
      </c>
      <c r="Y321" s="4">
        <v>14518.496529224485</v>
      </c>
      <c r="Z321" s="4">
        <v>15810.015571442744</v>
      </c>
      <c r="AA321" s="4">
        <v>7679.7943517152598</v>
      </c>
      <c r="AB321" s="4">
        <v>-1440.9419837863561</v>
      </c>
    </row>
    <row r="322" spans="1:28" x14ac:dyDescent="0.25">
      <c r="A322" s="4" t="s">
        <v>21</v>
      </c>
      <c r="B322">
        <v>791.63547381061107</v>
      </c>
      <c r="C322">
        <v>3189.0090743142546</v>
      </c>
      <c r="D322">
        <v>5923.6772106250382</v>
      </c>
      <c r="E322">
        <v>7181.7541347352144</v>
      </c>
      <c r="F322">
        <v>19943.41524472753</v>
      </c>
      <c r="G322">
        <v>20991.439790495602</v>
      </c>
      <c r="H322">
        <v>25080.744264120072</v>
      </c>
      <c r="I322">
        <v>21628.937110095474</v>
      </c>
      <c r="J322">
        <v>17873.235659082995</v>
      </c>
      <c r="K322">
        <v>19801.44760077812</v>
      </c>
      <c r="L322">
        <v>10351.470860346226</v>
      </c>
      <c r="M322">
        <v>2456.7658108728629</v>
      </c>
      <c r="P322" s="4" t="s">
        <v>21</v>
      </c>
      <c r="Q322" s="4">
        <v>20151.623853437857</v>
      </c>
      <c r="R322" s="4">
        <v>17655.59728044911</v>
      </c>
      <c r="S322" s="4">
        <v>13859.635326084379</v>
      </c>
      <c r="T322" s="4">
        <v>10728.860015640428</v>
      </c>
      <c r="U322" s="4">
        <v>24519.925826513459</v>
      </c>
      <c r="V322" s="4">
        <v>25644.948086729059</v>
      </c>
      <c r="W322" s="4">
        <v>30155.45874002908</v>
      </c>
      <c r="X322" s="4">
        <v>26477.221858227287</v>
      </c>
      <c r="Y322" s="4">
        <v>26513.738365039539</v>
      </c>
      <c r="Z322" s="4">
        <v>34738.02252393384</v>
      </c>
      <c r="AA322" s="4">
        <v>29852.266233332863</v>
      </c>
      <c r="AB322" s="4">
        <v>22963.963045779772</v>
      </c>
    </row>
    <row r="323" spans="1:28" x14ac:dyDescent="0.25">
      <c r="A323" s="4" t="s">
        <v>22</v>
      </c>
      <c r="B323">
        <v>8380.3120678569721</v>
      </c>
      <c r="C323">
        <v>10335.294465635006</v>
      </c>
      <c r="D323">
        <v>12583.152983159975</v>
      </c>
      <c r="E323">
        <v>13123.618403673518</v>
      </c>
      <c r="F323">
        <v>23121.196905090179</v>
      </c>
      <c r="G323">
        <v>23718.496600021823</v>
      </c>
      <c r="H323">
        <v>26851.700070946565</v>
      </c>
      <c r="I323">
        <v>27024.239515593792</v>
      </c>
      <c r="J323">
        <v>23447.852225404771</v>
      </c>
      <c r="K323">
        <v>26229.395370606264</v>
      </c>
      <c r="L323">
        <v>16850.862617000319</v>
      </c>
      <c r="M323">
        <v>9342.9310212380151</v>
      </c>
      <c r="P323" s="4" t="s">
        <v>22</v>
      </c>
      <c r="Q323" s="4">
        <v>36027.511096932321</v>
      </c>
      <c r="R323" s="4">
        <v>31890.218148827968</v>
      </c>
      <c r="S323" s="4">
        <v>25816.687136994202</v>
      </c>
      <c r="T323" s="4">
        <v>19348.432736434959</v>
      </c>
      <c r="U323" s="4">
        <v>29063.328253443098</v>
      </c>
      <c r="V323" s="4">
        <v>29694.677063806121</v>
      </c>
      <c r="W323" s="4">
        <v>33191.234047945196</v>
      </c>
      <c r="X323" s="4">
        <v>34195.384187416115</v>
      </c>
      <c r="Y323" s="4">
        <v>37162.412071226761</v>
      </c>
      <c r="Z323" s="4">
        <v>48080.442164394699</v>
      </c>
      <c r="AA323" s="4">
        <v>44547.347940646607</v>
      </c>
      <c r="AB323" s="4">
        <v>38672.978441144529</v>
      </c>
    </row>
    <row r="324" spans="1:28" x14ac:dyDescent="0.25">
      <c r="A324" s="4" t="s">
        <v>23</v>
      </c>
      <c r="B324">
        <v>12523.425001266565</v>
      </c>
      <c r="C324">
        <v>14483.927251378762</v>
      </c>
      <c r="D324">
        <v>15932.216368198548</v>
      </c>
      <c r="E324">
        <v>17082.085819831362</v>
      </c>
      <c r="F324">
        <v>25518.09468538424</v>
      </c>
      <c r="G324">
        <v>26579.027457107994</v>
      </c>
      <c r="H324">
        <v>30328.65372054193</v>
      </c>
      <c r="I324">
        <v>30980.612202530614</v>
      </c>
      <c r="J324">
        <v>26425.917933351229</v>
      </c>
      <c r="K324">
        <v>29643.506239144754</v>
      </c>
      <c r="L324">
        <v>20996.877200293042</v>
      </c>
      <c r="M324">
        <v>15324.465814368243</v>
      </c>
      <c r="P324" s="4" t="s">
        <v>23</v>
      </c>
      <c r="Q324" s="4">
        <v>45616.294510486565</v>
      </c>
      <c r="R324" s="4">
        <v>41352.136749675206</v>
      </c>
      <c r="S324" s="4">
        <v>33429.169856563938</v>
      </c>
      <c r="T324" s="4">
        <v>26141.287033349134</v>
      </c>
      <c r="U324" s="4">
        <v>32449.094230798753</v>
      </c>
      <c r="V324" s="4">
        <v>33586.90196876791</v>
      </c>
      <c r="W324" s="4">
        <v>37740.528105697289</v>
      </c>
      <c r="X324" s="4">
        <v>40812.024025591018</v>
      </c>
      <c r="Y324" s="4">
        <v>44251.118469707217</v>
      </c>
      <c r="Z324" s="4">
        <v>56660.72448204695</v>
      </c>
      <c r="AA324" s="4">
        <v>54122.711043921794</v>
      </c>
      <c r="AB324" s="4">
        <v>50452.632802491513</v>
      </c>
    </row>
    <row r="325" spans="1:28" x14ac:dyDescent="0.25">
      <c r="A325" s="4" t="s">
        <v>24</v>
      </c>
      <c r="B325">
        <v>14726.479271017412</v>
      </c>
      <c r="C325">
        <v>15227.181794131235</v>
      </c>
      <c r="D325">
        <v>18486.428655903092</v>
      </c>
      <c r="E325">
        <v>19928.874233808012</v>
      </c>
      <c r="F325">
        <v>25939.66315816942</v>
      </c>
      <c r="G325">
        <v>26511.450682672781</v>
      </c>
      <c r="H325">
        <v>31666.316587489491</v>
      </c>
      <c r="I325">
        <v>33822.253776605095</v>
      </c>
      <c r="J325">
        <v>29707.835813517198</v>
      </c>
      <c r="K325">
        <v>32589.864403586897</v>
      </c>
      <c r="L325">
        <v>23567.482321020059</v>
      </c>
      <c r="M325">
        <v>16789.016114326103</v>
      </c>
      <c r="P325" s="4" t="s">
        <v>24</v>
      </c>
      <c r="Q325" s="4">
        <v>51050.981016746533</v>
      </c>
      <c r="R325" s="4">
        <v>45181.6415296341</v>
      </c>
      <c r="S325" s="4">
        <v>38822.18514923405</v>
      </c>
      <c r="T325" s="4">
        <v>31014.61195787304</v>
      </c>
      <c r="U325" s="4">
        <v>33426.987437799733</v>
      </c>
      <c r="V325" s="4">
        <v>34008.644562599409</v>
      </c>
      <c r="W325" s="4">
        <v>39655.346089149476</v>
      </c>
      <c r="X325" s="4">
        <v>45572.389254414491</v>
      </c>
      <c r="Y325" s="4">
        <v>50342.578759440192</v>
      </c>
      <c r="Z325" s="4">
        <v>62842.8434762549</v>
      </c>
      <c r="AA325" s="4">
        <v>59941.496677336778</v>
      </c>
      <c r="AB325" s="4">
        <v>55165.446351021092</v>
      </c>
    </row>
    <row r="326" spans="1:28" x14ac:dyDescent="0.25">
      <c r="A326" s="4" t="s">
        <v>25</v>
      </c>
      <c r="B326">
        <v>41253.753851355032</v>
      </c>
      <c r="C326">
        <v>43591.477618133693</v>
      </c>
      <c r="D326">
        <v>45378.341936227262</v>
      </c>
      <c r="E326">
        <v>46795.869747024466</v>
      </c>
      <c r="F326">
        <v>52410.957928839314</v>
      </c>
      <c r="G326">
        <v>53037.388068107801</v>
      </c>
      <c r="H326">
        <v>58085.233117665965</v>
      </c>
      <c r="I326">
        <v>60319.707602013848</v>
      </c>
      <c r="J326">
        <v>56596.843358548394</v>
      </c>
      <c r="K326">
        <v>58015.015664392631</v>
      </c>
      <c r="L326">
        <v>50094.664426963267</v>
      </c>
      <c r="M326">
        <v>44048.773228814127</v>
      </c>
      <c r="P326" s="4" t="s">
        <v>25</v>
      </c>
      <c r="Q326" s="4">
        <v>78650.006756363335</v>
      </c>
      <c r="R326" s="4">
        <v>74700.34097279924</v>
      </c>
      <c r="S326" s="4">
        <v>66710.453569788049</v>
      </c>
      <c r="T326" s="4">
        <v>58604.960687710074</v>
      </c>
      <c r="U326" s="4">
        <v>60271.16921767997</v>
      </c>
      <c r="V326" s="4">
        <v>60744.708148521357</v>
      </c>
      <c r="W326" s="4">
        <v>66331.61866521748</v>
      </c>
      <c r="X326" s="4">
        <v>72729.037021594821</v>
      </c>
      <c r="Y326" s="4">
        <v>78198.535207595574</v>
      </c>
      <c r="Z326" s="4">
        <v>89188.464861977831</v>
      </c>
      <c r="AA326" s="4">
        <v>87536.625616825098</v>
      </c>
      <c r="AB326" s="4">
        <v>83568.115109744103</v>
      </c>
    </row>
    <row r="327" spans="1:28" x14ac:dyDescent="0.25">
      <c r="A327" s="4" t="s">
        <v>26</v>
      </c>
      <c r="B327">
        <v>41740.79541958886</v>
      </c>
      <c r="C327">
        <v>42975.99442270265</v>
      </c>
      <c r="D327">
        <v>45867.993044474519</v>
      </c>
      <c r="E327">
        <v>45841.445662379439</v>
      </c>
      <c r="F327">
        <v>52219.48282674083</v>
      </c>
      <c r="G327">
        <v>53525.766831244197</v>
      </c>
      <c r="H327">
        <v>57946.136256060934</v>
      </c>
      <c r="I327">
        <v>60469.321685176517</v>
      </c>
      <c r="J327">
        <v>56354.903722088624</v>
      </c>
      <c r="K327">
        <v>57400.691112158282</v>
      </c>
      <c r="L327">
        <v>49480.05374959149</v>
      </c>
      <c r="M327">
        <v>44537.828742897545</v>
      </c>
      <c r="P327" s="4" t="s">
        <v>26</v>
      </c>
      <c r="Q327" s="4">
        <v>78147.431165317976</v>
      </c>
      <c r="R327" s="4">
        <v>73067.344158205524</v>
      </c>
      <c r="S327" s="4">
        <v>66313.261537805476</v>
      </c>
      <c r="T327" s="4">
        <v>56927.183386444471</v>
      </c>
      <c r="U327" s="4">
        <v>59734.185106371144</v>
      </c>
      <c r="V327" s="4">
        <v>61105.094711170816</v>
      </c>
      <c r="W327" s="4">
        <v>65962.543757720923</v>
      </c>
      <c r="X327" s="4">
        <v>72274.213162985921</v>
      </c>
      <c r="Y327" s="4">
        <v>77044.402668011622</v>
      </c>
      <c r="Z327" s="4">
        <v>87571.536184826284</v>
      </c>
      <c r="AA327" s="4">
        <v>85854.068105908213</v>
      </c>
      <c r="AB327" s="4">
        <v>83051.148979592544</v>
      </c>
    </row>
    <row r="328" spans="1:28" x14ac:dyDescent="0.25">
      <c r="A328" s="4" t="s">
        <v>27</v>
      </c>
      <c r="B328">
        <v>39170.492909838023</v>
      </c>
      <c r="C328">
        <v>42232.739879950175</v>
      </c>
      <c r="D328">
        <v>44048.27723676998</v>
      </c>
      <c r="E328">
        <v>45198.14668840282</v>
      </c>
      <c r="F328">
        <v>51430.666113955667</v>
      </c>
      <c r="G328">
        <v>52491.598885679428</v>
      </c>
      <c r="H328">
        <v>57342.969869113382</v>
      </c>
      <c r="I328">
        <v>59831.169551102066</v>
      </c>
      <c r="J328">
        <v>55276.475281922656</v>
      </c>
      <c r="K328">
        <v>55923.3259077162</v>
      </c>
      <c r="L328">
        <v>48011.193348864486</v>
      </c>
      <c r="M328">
        <v>41971.533722939675</v>
      </c>
      <c r="P328" s="4" t="s">
        <v>27</v>
      </c>
      <c r="Q328" s="4">
        <v>72318.118419058024</v>
      </c>
      <c r="R328" s="4">
        <v>69237.83937824663</v>
      </c>
      <c r="S328" s="4">
        <v>61709.49872513536</v>
      </c>
      <c r="T328" s="4">
        <v>54421.615901920595</v>
      </c>
      <c r="U328" s="4">
        <v>58361.665659370185</v>
      </c>
      <c r="V328" s="4">
        <v>59499.473397339338</v>
      </c>
      <c r="W328" s="4">
        <v>64836.978254268746</v>
      </c>
      <c r="X328" s="4">
        <v>69881.605374162478</v>
      </c>
      <c r="Y328" s="4">
        <v>73320.699818278634</v>
      </c>
      <c r="Z328" s="4">
        <v>82967.922150618397</v>
      </c>
      <c r="AA328" s="4">
        <v>81219.161192493237</v>
      </c>
      <c r="AB328" s="4">
        <v>77154.456711062929</v>
      </c>
    </row>
    <row r="329" spans="1:28" x14ac:dyDescent="0.25">
      <c r="A329" s="4" t="s">
        <v>28</v>
      </c>
      <c r="B329">
        <v>36496.372936428401</v>
      </c>
      <c r="C329">
        <v>39185.851814206435</v>
      </c>
      <c r="D329">
        <v>41433.710331731432</v>
      </c>
      <c r="E329">
        <v>43075.920472244958</v>
      </c>
      <c r="F329">
        <v>49768.264813661634</v>
      </c>
      <c r="G329">
        <v>51834.557468593281</v>
      </c>
      <c r="H329">
        <v>55702.257419517984</v>
      </c>
      <c r="I329">
        <v>55507.548624165232</v>
      </c>
      <c r="J329">
        <v>51931.161333976212</v>
      </c>
      <c r="K329">
        <v>52141.966799177695</v>
      </c>
      <c r="L329">
        <v>43865.178765571764</v>
      </c>
      <c r="M329">
        <v>39295.233089809481</v>
      </c>
      <c r="P329" s="4" t="s">
        <v>28</v>
      </c>
      <c r="Q329" s="4">
        <v>64307.83996550375</v>
      </c>
      <c r="R329" s="4">
        <v>60959.799497399392</v>
      </c>
      <c r="S329" s="4">
        <v>54886.268485565663</v>
      </c>
      <c r="T329" s="4">
        <v>49601.892805006399</v>
      </c>
      <c r="U329" s="4">
        <v>55765.152162014558</v>
      </c>
      <c r="V329" s="4">
        <v>57975.005932377579</v>
      </c>
      <c r="W329" s="4">
        <v>62260.815396516613</v>
      </c>
      <c r="X329" s="4">
        <v>62870.339295987564</v>
      </c>
      <c r="Y329" s="4">
        <v>65837.367179798195</v>
      </c>
      <c r="Z329" s="4">
        <v>73993.013592966134</v>
      </c>
      <c r="AA329" s="4">
        <v>71643.798089218049</v>
      </c>
      <c r="AB329" s="4">
        <v>68926.438509716012</v>
      </c>
    </row>
    <row r="330" spans="1:28" x14ac:dyDescent="0.25">
      <c r="A330" s="4" t="s">
        <v>29</v>
      </c>
      <c r="B330">
        <v>31111.185782382036</v>
      </c>
      <c r="C330">
        <v>34243.055862885682</v>
      </c>
      <c r="D330">
        <v>36977.723999196431</v>
      </c>
      <c r="E330">
        <v>37868.552683306654</v>
      </c>
      <c r="F330">
        <v>47324.979633298943</v>
      </c>
      <c r="G330">
        <v>51310.990099067014</v>
      </c>
      <c r="H330">
        <v>53196.805132691472</v>
      </c>
      <c r="I330">
        <v>51213.990938666931</v>
      </c>
      <c r="J330">
        <v>47091.041247654437</v>
      </c>
      <c r="K330">
        <v>45346.770789349539</v>
      </c>
      <c r="L330">
        <v>38834.779968917639</v>
      </c>
      <c r="M330">
        <v>35714.302039444279</v>
      </c>
      <c r="P330" s="4" t="s">
        <v>29</v>
      </c>
      <c r="Q330" s="4">
        <v>50799.71016200928</v>
      </c>
      <c r="R330" s="4">
        <v>49092.936069020536</v>
      </c>
      <c r="S330" s="4">
        <v>45296.974114655772</v>
      </c>
      <c r="T330" s="4">
        <v>41771.572564211863</v>
      </c>
      <c r="U330" s="4">
        <v>52011.002215084867</v>
      </c>
      <c r="V330" s="4">
        <v>56293.03439530047</v>
      </c>
      <c r="W330" s="4">
        <v>58435.787608600476</v>
      </c>
      <c r="X330" s="4">
        <v>56336.055686798747</v>
      </c>
      <c r="Y330" s="4">
        <v>55977.945953610979</v>
      </c>
      <c r="Z330" s="4">
        <v>60255.967712505255</v>
      </c>
      <c r="AA330" s="4">
        <v>58527.221341904275</v>
      </c>
      <c r="AB330" s="4">
        <v>56769.059274351195</v>
      </c>
    </row>
    <row r="331" spans="1:28" x14ac:dyDescent="0.25">
      <c r="A331" s="4" t="s">
        <v>30</v>
      </c>
      <c r="B331">
        <v>24434.307088629794</v>
      </c>
      <c r="C331">
        <v>28005.606980854594</v>
      </c>
      <c r="D331">
        <v>31025.774338134081</v>
      </c>
      <c r="E331">
        <v>33451.231899464445</v>
      </c>
      <c r="F331">
        <v>43428.491546981575</v>
      </c>
      <c r="G331">
        <v>47594.620225073464</v>
      </c>
      <c r="H331">
        <v>49122.56562158926</v>
      </c>
      <c r="I331">
        <v>46263.430677147982</v>
      </c>
      <c r="J331">
        <v>42518.272170506505</v>
      </c>
      <c r="K331">
        <v>38304.534543952235</v>
      </c>
      <c r="L331">
        <v>31031.070856137529</v>
      </c>
      <c r="M331">
        <v>30310.454840262253</v>
      </c>
      <c r="P331" s="4" t="s">
        <v>30</v>
      </c>
      <c r="Q331" s="4">
        <v>30005.613142780636</v>
      </c>
      <c r="R331" s="4">
        <v>33989.618453027753</v>
      </c>
      <c r="S331" s="4">
        <v>34075.755252845287</v>
      </c>
      <c r="T331" s="4">
        <v>35581.340063819443</v>
      </c>
      <c r="U331" s="4">
        <v>46407.228100294233</v>
      </c>
      <c r="V331" s="4">
        <v>50915.152176390693</v>
      </c>
      <c r="W331" s="4">
        <v>52624.439951572866</v>
      </c>
      <c r="X331" s="4">
        <v>49507.000928653826</v>
      </c>
      <c r="Y331" s="4">
        <v>46350.461557795919</v>
      </c>
      <c r="Z331" s="4">
        <v>44484.970680014158</v>
      </c>
      <c r="AA331" s="4">
        <v>36749.375700286684</v>
      </c>
      <c r="AB331" s="4">
        <v>34731.91168478506</v>
      </c>
    </row>
    <row r="332" spans="1:28" x14ac:dyDescent="0.25">
      <c r="A332" s="4" t="s">
        <v>31</v>
      </c>
      <c r="B332">
        <v>20434.743805714294</v>
      </c>
      <c r="C332">
        <v>22270.985005714276</v>
      </c>
      <c r="D332">
        <v>23739.977965714272</v>
      </c>
      <c r="E332">
        <v>24308.90269546277</v>
      </c>
      <c r="F332">
        <v>34378.449100097925</v>
      </c>
      <c r="G332">
        <v>38521.760609802528</v>
      </c>
      <c r="H332">
        <v>39128.420518297957</v>
      </c>
      <c r="I332">
        <v>36760.764177621342</v>
      </c>
      <c r="J332">
        <v>36960.914605714308</v>
      </c>
      <c r="K332">
        <v>33288.432205714285</v>
      </c>
      <c r="L332">
        <v>28146.956845714292</v>
      </c>
      <c r="M332">
        <v>27045.212125714279</v>
      </c>
      <c r="P332" s="4" t="s">
        <v>31</v>
      </c>
      <c r="Q332" s="4">
        <v>19543.437805714289</v>
      </c>
      <c r="R332" s="4">
        <v>21516.569005714271</v>
      </c>
      <c r="S332" s="4">
        <v>23095.073965714269</v>
      </c>
      <c r="T332" s="4">
        <v>23890.201005285475</v>
      </c>
      <c r="U332" s="4">
        <v>34998.877396149634</v>
      </c>
      <c r="V332" s="4">
        <v>39555.162796651035</v>
      </c>
      <c r="W332" s="4">
        <v>40142.490952807348</v>
      </c>
      <c r="X332" s="4">
        <v>37287.318046414402</v>
      </c>
      <c r="Y332" s="4">
        <v>37301.618605714306</v>
      </c>
      <c r="Z332" s="4">
        <v>33355.356205714284</v>
      </c>
      <c r="AA332" s="4">
        <v>27830.588845714294</v>
      </c>
      <c r="AB332" s="4">
        <v>26646.710125714279</v>
      </c>
    </row>
    <row r="333" spans="1:28" x14ac:dyDescent="0.25">
      <c r="A333" s="4" t="s">
        <v>32</v>
      </c>
      <c r="B333">
        <v>18965.750845714294</v>
      </c>
      <c r="C333">
        <v>20801.992045714276</v>
      </c>
      <c r="D333">
        <v>21169.240285714288</v>
      </c>
      <c r="E333">
        <v>21536.488525714303</v>
      </c>
      <c r="F333">
        <v>27412.460365714294</v>
      </c>
      <c r="G333">
        <v>29248.701565714306</v>
      </c>
      <c r="H333">
        <v>32553.935725714317</v>
      </c>
      <c r="I333">
        <v>33288.432205714285</v>
      </c>
      <c r="J333">
        <v>34022.928685714316</v>
      </c>
      <c r="K333">
        <v>32186.687485714301</v>
      </c>
      <c r="L333">
        <v>27045.212125714279</v>
      </c>
      <c r="M333">
        <v>24474.474445714299</v>
      </c>
      <c r="P333" s="4" t="s">
        <v>32</v>
      </c>
      <c r="Q333" s="4">
        <v>17964.932845714295</v>
      </c>
      <c r="R333" s="4">
        <v>19938.064045714273</v>
      </c>
      <c r="S333" s="4">
        <v>20332.690285714292</v>
      </c>
      <c r="T333" s="4">
        <v>20727.316525714305</v>
      </c>
      <c r="U333" s="4">
        <v>27041.336365714295</v>
      </c>
      <c r="V333" s="4">
        <v>29014.467565714309</v>
      </c>
      <c r="W333" s="4">
        <v>32566.103725714318</v>
      </c>
      <c r="X333" s="4">
        <v>33355.356205714284</v>
      </c>
      <c r="Y333" s="4">
        <v>34144.608685714316</v>
      </c>
      <c r="Z333" s="4">
        <v>32171.477485714302</v>
      </c>
      <c r="AA333" s="4">
        <v>26646.710125714279</v>
      </c>
      <c r="AB333" s="4">
        <v>23884.326445714301</v>
      </c>
    </row>
    <row r="334" spans="1:28" x14ac:dyDescent="0.25">
      <c r="A334" s="4" t="s">
        <v>33</v>
      </c>
      <c r="B334">
        <v>18231.254365714296</v>
      </c>
      <c r="C334">
        <v>18965.750845714294</v>
      </c>
      <c r="D334">
        <v>19700.247325714292</v>
      </c>
      <c r="E334">
        <v>21536.488525714303</v>
      </c>
      <c r="F334">
        <v>26677.963885714296</v>
      </c>
      <c r="G334">
        <v>28881.45332571429</v>
      </c>
      <c r="H334">
        <v>31819.439245714286</v>
      </c>
      <c r="I334">
        <v>32186.687485714301</v>
      </c>
      <c r="J334">
        <v>33655.680445714301</v>
      </c>
      <c r="K334">
        <v>31084.942765714288</v>
      </c>
      <c r="L334">
        <v>26310.715645714281</v>
      </c>
      <c r="M334">
        <v>23372.729725714315</v>
      </c>
      <c r="P334" s="4" t="s">
        <v>33</v>
      </c>
      <c r="Q334" s="4">
        <v>17175.680365714295</v>
      </c>
      <c r="R334" s="4">
        <v>17964.932845714295</v>
      </c>
      <c r="S334" s="4">
        <v>18754.185325714294</v>
      </c>
      <c r="T334" s="4">
        <v>20727.316525714305</v>
      </c>
      <c r="U334" s="4">
        <v>26252.083885714295</v>
      </c>
      <c r="V334" s="4">
        <v>28619.841325714293</v>
      </c>
      <c r="W334" s="4">
        <v>31776.851245714286</v>
      </c>
      <c r="X334" s="4">
        <v>32171.477485714302</v>
      </c>
      <c r="Y334" s="4">
        <v>33749.982445714297</v>
      </c>
      <c r="Z334" s="4">
        <v>30987.59876571429</v>
      </c>
      <c r="AA334" s="4">
        <v>25857.457645714283</v>
      </c>
      <c r="AB334" s="4">
        <v>22700.447725714315</v>
      </c>
    </row>
    <row r="335" spans="1:28" x14ac:dyDescent="0.25">
      <c r="A335" s="4" t="s">
        <v>34</v>
      </c>
      <c r="B335">
        <v>17129.509645714279</v>
      </c>
      <c r="C335">
        <v>17864.006125714281</v>
      </c>
      <c r="D335">
        <v>18231.254365714296</v>
      </c>
      <c r="E335">
        <v>20801.992045714276</v>
      </c>
      <c r="F335">
        <v>25576.219165714283</v>
      </c>
      <c r="G335">
        <v>28514.205085714279</v>
      </c>
      <c r="H335">
        <v>31084.942765714288</v>
      </c>
      <c r="I335">
        <v>31452.191005714274</v>
      </c>
      <c r="J335">
        <v>32921.18396571427</v>
      </c>
      <c r="K335">
        <v>29248.701565714306</v>
      </c>
      <c r="L335">
        <v>25208.970925714297</v>
      </c>
      <c r="M335">
        <v>22638.233245714287</v>
      </c>
      <c r="P335" s="4" t="s">
        <v>34</v>
      </c>
      <c r="Q335" s="4">
        <v>15991.80164571428</v>
      </c>
      <c r="R335" s="4">
        <v>16781.05412571428</v>
      </c>
      <c r="S335" s="4">
        <v>17175.680365714295</v>
      </c>
      <c r="T335" s="4">
        <v>19938.064045714273</v>
      </c>
      <c r="U335" s="4">
        <v>25068.205165714284</v>
      </c>
      <c r="V335" s="4">
        <v>28225.215085714277</v>
      </c>
      <c r="W335" s="4">
        <v>30987.59876571429</v>
      </c>
      <c r="X335" s="4">
        <v>31382.225005714274</v>
      </c>
      <c r="Y335" s="4">
        <v>32960.729965714272</v>
      </c>
      <c r="Z335" s="4">
        <v>29014.467565714309</v>
      </c>
      <c r="AA335" s="4">
        <v>24673.578925714297</v>
      </c>
      <c r="AB335" s="4">
        <v>21911.195245714287</v>
      </c>
    </row>
    <row r="336" spans="1:28" x14ac:dyDescent="0.25">
      <c r="A336" s="4" t="s">
        <v>35</v>
      </c>
      <c r="B336">
        <v>15660.516685714312</v>
      </c>
      <c r="C336">
        <v>16762.261405714296</v>
      </c>
      <c r="D336">
        <v>16762.261405714296</v>
      </c>
      <c r="E336">
        <v>19700.247325714292</v>
      </c>
      <c r="F336">
        <v>24474.474445714299</v>
      </c>
      <c r="G336">
        <v>28146.956845714292</v>
      </c>
      <c r="H336">
        <v>30717.694525714305</v>
      </c>
      <c r="I336">
        <v>30717.694525714305</v>
      </c>
      <c r="J336">
        <v>32186.687485714301</v>
      </c>
      <c r="K336">
        <v>27779.70860571431</v>
      </c>
      <c r="L336">
        <v>23739.977965714272</v>
      </c>
      <c r="M336">
        <v>21536.488525714303</v>
      </c>
      <c r="P336" s="4" t="s">
        <v>35</v>
      </c>
      <c r="Q336" s="4">
        <v>14413.296685714315</v>
      </c>
      <c r="R336" s="4">
        <v>15597.175405714297</v>
      </c>
      <c r="S336" s="4">
        <v>15597.175405714297</v>
      </c>
      <c r="T336" s="4">
        <v>18754.185325714294</v>
      </c>
      <c r="U336" s="4">
        <v>23884.326445714301</v>
      </c>
      <c r="V336" s="4">
        <v>27830.588845714294</v>
      </c>
      <c r="W336" s="4">
        <v>30592.972525714304</v>
      </c>
      <c r="X336" s="4">
        <v>30592.972525714304</v>
      </c>
      <c r="Y336" s="4">
        <v>32171.477485714302</v>
      </c>
      <c r="Z336" s="4">
        <v>27435.96260571431</v>
      </c>
      <c r="AA336" s="4">
        <v>23095.073965714269</v>
      </c>
      <c r="AB336" s="4">
        <v>20727.316525714305</v>
      </c>
    </row>
    <row r="337" spans="1:28" x14ac:dyDescent="0.25">
      <c r="A337" s="4" t="s">
        <v>36</v>
      </c>
      <c r="B337">
        <v>15293.2684457143</v>
      </c>
      <c r="C337">
        <v>15293.2684457143</v>
      </c>
      <c r="D337">
        <v>15660.516685714312</v>
      </c>
      <c r="E337">
        <v>18965.750845714294</v>
      </c>
      <c r="F337">
        <v>23739.977965714272</v>
      </c>
      <c r="G337">
        <v>27412.460365714294</v>
      </c>
      <c r="H337">
        <v>29983.198045714274</v>
      </c>
      <c r="I337">
        <v>30350.44628571429</v>
      </c>
      <c r="J337">
        <v>31819.439245714286</v>
      </c>
      <c r="K337">
        <v>26677.963885714296</v>
      </c>
      <c r="L337">
        <v>23005.481485714299</v>
      </c>
      <c r="M337">
        <v>20434.743805714294</v>
      </c>
      <c r="P337" s="4" t="s">
        <v>36</v>
      </c>
      <c r="Q337" s="4">
        <v>14018.670445714299</v>
      </c>
      <c r="R337" s="4">
        <v>14018.670445714299</v>
      </c>
      <c r="S337" s="4">
        <v>14413.296685714315</v>
      </c>
      <c r="T337" s="4">
        <v>17964.932845714295</v>
      </c>
      <c r="U337" s="4">
        <v>23095.073965714269</v>
      </c>
      <c r="V337" s="4">
        <v>27041.336365714295</v>
      </c>
      <c r="W337" s="4">
        <v>29803.720045714275</v>
      </c>
      <c r="X337" s="4">
        <v>30198.346285714291</v>
      </c>
      <c r="Y337" s="4">
        <v>31776.851245714286</v>
      </c>
      <c r="Z337" s="4">
        <v>26252.083885714295</v>
      </c>
      <c r="AA337" s="4">
        <v>22305.821485714303</v>
      </c>
      <c r="AB337" s="4">
        <v>19543.437805714289</v>
      </c>
    </row>
    <row r="340" spans="1:28" x14ac:dyDescent="0.25">
      <c r="B340">
        <f>B258+$B62+B34</f>
        <v>-11353.799462857161</v>
      </c>
      <c r="C340" s="4">
        <f t="shared" ref="C340:M340" si="0">C258+$B62+C34</f>
        <v>-11721.047702857115</v>
      </c>
      <c r="D340" s="4">
        <f t="shared" si="0"/>
        <v>-10986.551222857146</v>
      </c>
      <c r="E340" s="4">
        <f t="shared" si="0"/>
        <v>-7681.317062857137</v>
      </c>
      <c r="F340" s="4">
        <f t="shared" si="0"/>
        <v>-3641.5864228571572</v>
      </c>
      <c r="G340" s="4">
        <f t="shared" si="0"/>
        <v>765.39245714286426</v>
      </c>
      <c r="H340" s="4">
        <f t="shared" si="0"/>
        <v>3703.3783771428598</v>
      </c>
      <c r="I340" s="4">
        <f t="shared" si="0"/>
        <v>3703.3783771428598</v>
      </c>
      <c r="J340" s="4">
        <f t="shared" si="0"/>
        <v>4805.1230971428722</v>
      </c>
      <c r="K340" s="4">
        <f t="shared" si="0"/>
        <v>-336.35226285714816</v>
      </c>
      <c r="L340" s="4">
        <f t="shared" si="0"/>
        <v>-3641.5864228571572</v>
      </c>
      <c r="M340" s="4">
        <f t="shared" si="0"/>
        <v>-6579.5723428571528</v>
      </c>
    </row>
    <row r="341" spans="1:28" x14ac:dyDescent="0.25">
      <c r="B341" s="4">
        <f t="shared" ref="B341:M341" si="1">B259+$B63+B35</f>
        <v>-12455.544182857146</v>
      </c>
      <c r="C341" s="4">
        <f t="shared" si="1"/>
        <v>-11721.047702857115</v>
      </c>
      <c r="D341" s="4">
        <f t="shared" si="1"/>
        <v>-12455.544182857146</v>
      </c>
      <c r="E341" s="4">
        <f t="shared" si="1"/>
        <v>-8048.5653028571505</v>
      </c>
      <c r="F341" s="4">
        <f t="shared" si="1"/>
        <v>-4743.3311428571415</v>
      </c>
      <c r="G341" s="4">
        <f t="shared" si="1"/>
        <v>398.14421714285072</v>
      </c>
      <c r="H341" s="4">
        <f t="shared" si="1"/>
        <v>3336.1301371428749</v>
      </c>
      <c r="I341" s="4">
        <f t="shared" si="1"/>
        <v>2968.8818971428609</v>
      </c>
      <c r="J341" s="4">
        <f t="shared" si="1"/>
        <v>4437.8748571428587</v>
      </c>
      <c r="K341" s="4">
        <f t="shared" si="1"/>
        <v>-1805.3452228571459</v>
      </c>
      <c r="L341" s="4">
        <f t="shared" si="1"/>
        <v>-4376.0829028571279</v>
      </c>
      <c r="M341" s="4">
        <f t="shared" si="1"/>
        <v>-8415.813542857135</v>
      </c>
    </row>
    <row r="342" spans="1:28" x14ac:dyDescent="0.25">
      <c r="B342" s="4">
        <f t="shared" ref="B342:M342" si="2">B260+$B64+B36</f>
        <v>-13190.040662857144</v>
      </c>
      <c r="C342" s="4">
        <f t="shared" si="2"/>
        <v>-12822.792422857157</v>
      </c>
      <c r="D342" s="4">
        <f t="shared" si="2"/>
        <v>-12822.792422857157</v>
      </c>
      <c r="E342" s="4">
        <f t="shared" si="2"/>
        <v>-9517.5582628571483</v>
      </c>
      <c r="F342" s="4">
        <f t="shared" si="2"/>
        <v>-5477.8276228571394</v>
      </c>
      <c r="G342" s="4">
        <f t="shared" si="2"/>
        <v>-336.35226285714816</v>
      </c>
      <c r="H342" s="4">
        <f t="shared" si="2"/>
        <v>2968.8818971428609</v>
      </c>
      <c r="I342" s="4">
        <f t="shared" si="2"/>
        <v>2234.385417142862</v>
      </c>
      <c r="J342" s="4">
        <f t="shared" si="2"/>
        <v>3703.3783771428598</v>
      </c>
      <c r="K342" s="4">
        <f t="shared" si="2"/>
        <v>-2539.8417028571166</v>
      </c>
      <c r="L342" s="4">
        <f t="shared" si="2"/>
        <v>-4743.3311428571415</v>
      </c>
      <c r="M342" s="4">
        <f t="shared" si="2"/>
        <v>-8783.0617828571503</v>
      </c>
    </row>
    <row r="343" spans="1:28" x14ac:dyDescent="0.25">
      <c r="B343" s="4">
        <f t="shared" ref="B343:M343" si="3">B261+$B65+B37</f>
        <v>-13557.288902857126</v>
      </c>
      <c r="C343" s="4">
        <f t="shared" si="3"/>
        <v>-13924.537142857142</v>
      </c>
      <c r="D343" s="4">
        <f t="shared" si="3"/>
        <v>-14291.785382857157</v>
      </c>
      <c r="E343" s="4">
        <f t="shared" si="3"/>
        <v>-10252.054742857119</v>
      </c>
      <c r="F343" s="4">
        <f t="shared" si="3"/>
        <v>-6579.5723428571528</v>
      </c>
      <c r="G343" s="4">
        <f t="shared" si="3"/>
        <v>-1070.8487428571179</v>
      </c>
      <c r="H343" s="4">
        <f t="shared" si="3"/>
        <v>2234.385417142862</v>
      </c>
      <c r="I343" s="4">
        <f t="shared" si="3"/>
        <v>1132.6406971428496</v>
      </c>
      <c r="J343" s="4">
        <f t="shared" si="3"/>
        <v>2968.8818971428609</v>
      </c>
      <c r="K343" s="4">
        <f t="shared" si="3"/>
        <v>-3274.3381828571437</v>
      </c>
      <c r="L343" s="4">
        <f t="shared" si="3"/>
        <v>-5845.0758628571257</v>
      </c>
      <c r="M343" s="4">
        <f t="shared" si="3"/>
        <v>-9150.3100228571348</v>
      </c>
    </row>
    <row r="344" spans="1:28" x14ac:dyDescent="0.25">
      <c r="B344" s="4">
        <f t="shared" ref="B344:M344" si="4">B262+$B66+B38</f>
        <v>-14291.785382857157</v>
      </c>
      <c r="C344" s="4">
        <f t="shared" si="4"/>
        <v>-14659.03362285714</v>
      </c>
      <c r="D344" s="4">
        <f t="shared" si="4"/>
        <v>-14291.785382857157</v>
      </c>
      <c r="E344" s="4">
        <f t="shared" si="4"/>
        <v>-10252.054742857119</v>
      </c>
      <c r="F344" s="4">
        <f t="shared" si="4"/>
        <v>-6579.5723428571528</v>
      </c>
      <c r="G344" s="4">
        <f t="shared" si="4"/>
        <v>-1805.3452228571459</v>
      </c>
      <c r="H344" s="4">
        <f t="shared" si="4"/>
        <v>2234.385417142862</v>
      </c>
      <c r="I344" s="4">
        <f t="shared" si="4"/>
        <v>765.39245714286426</v>
      </c>
      <c r="J344" s="4">
        <f t="shared" si="4"/>
        <v>2234.385417142862</v>
      </c>
      <c r="K344" s="4">
        <f t="shared" si="4"/>
        <v>-4376.0829028571279</v>
      </c>
      <c r="L344" s="4">
        <f t="shared" si="4"/>
        <v>-5845.0758628571257</v>
      </c>
      <c r="M344" s="4">
        <f t="shared" si="4"/>
        <v>-9517.5582628571483</v>
      </c>
    </row>
    <row r="345" spans="1:28" x14ac:dyDescent="0.25">
      <c r="B345" s="4">
        <f t="shared" ref="B345:M345" si="5">B263+$B67+B39</f>
        <v>-14659.03362285714</v>
      </c>
      <c r="C345" s="4">
        <f t="shared" si="5"/>
        <v>-15026.281862857126</v>
      </c>
      <c r="D345" s="4">
        <f t="shared" si="5"/>
        <v>-14291.785382857157</v>
      </c>
      <c r="E345" s="4">
        <f t="shared" si="5"/>
        <v>-10619.302982857131</v>
      </c>
      <c r="F345" s="4">
        <f t="shared" si="5"/>
        <v>-6579.5723428571528</v>
      </c>
      <c r="G345" s="4">
        <f t="shared" si="5"/>
        <v>1132.6406971428496</v>
      </c>
      <c r="H345" s="4">
        <f t="shared" si="5"/>
        <v>2234.385417142862</v>
      </c>
      <c r="I345" s="4">
        <f t="shared" si="5"/>
        <v>398.14421714285072</v>
      </c>
      <c r="J345" s="4">
        <f t="shared" si="5"/>
        <v>2968.8818971428609</v>
      </c>
      <c r="K345" s="4">
        <f t="shared" si="5"/>
        <v>-5110.579382857155</v>
      </c>
      <c r="L345" s="4">
        <f t="shared" si="5"/>
        <v>-6579.5723428571528</v>
      </c>
      <c r="M345" s="4">
        <f t="shared" si="5"/>
        <v>-8415.813542857135</v>
      </c>
    </row>
    <row r="346" spans="1:28" x14ac:dyDescent="0.25">
      <c r="B346" s="4">
        <f t="shared" ref="B346:M346" si="6">B264+$B68+B40</f>
        <v>10519.041325714294</v>
      </c>
      <c r="C346" s="4">
        <f t="shared" si="6"/>
        <v>10519.041325714294</v>
      </c>
      <c r="D346" s="4">
        <f t="shared" si="6"/>
        <v>11988.03428571429</v>
      </c>
      <c r="E346" s="4">
        <f t="shared" si="6"/>
        <v>18065.682615462742</v>
      </c>
      <c r="F346" s="4">
        <f t="shared" si="6"/>
        <v>28135.229020097926</v>
      </c>
      <c r="G346" s="4">
        <f t="shared" si="6"/>
        <v>35216.526449802543</v>
      </c>
      <c r="H346" s="4">
        <f t="shared" si="6"/>
        <v>34721.441638297969</v>
      </c>
      <c r="I346" s="4">
        <f t="shared" si="6"/>
        <v>29048.551137621344</v>
      </c>
      <c r="J346" s="4">
        <f t="shared" si="6"/>
        <v>29615.949805714292</v>
      </c>
      <c r="K346" s="4">
        <f t="shared" si="6"/>
        <v>21903.73676571429</v>
      </c>
      <c r="L346" s="4">
        <f t="shared" si="6"/>
        <v>20434.743805714294</v>
      </c>
      <c r="M346" s="4">
        <f t="shared" si="6"/>
        <v>18598.502605714308</v>
      </c>
    </row>
    <row r="347" spans="1:28" x14ac:dyDescent="0.25">
      <c r="B347" s="4">
        <f t="shared" ref="B347:M347" si="7">B265+$B69+B41</f>
        <v>15253.101088629795</v>
      </c>
      <c r="C347" s="4">
        <f t="shared" si="7"/>
        <v>17722.656260854608</v>
      </c>
      <c r="D347" s="4">
        <f t="shared" si="7"/>
        <v>21477.320098134063</v>
      </c>
      <c r="E347" s="4">
        <f t="shared" si="7"/>
        <v>28677.004779464427</v>
      </c>
      <c r="F347" s="4">
        <f t="shared" si="7"/>
        <v>40490.505626981554</v>
      </c>
      <c r="G347" s="4">
        <f t="shared" si="7"/>
        <v>43187.641345073462</v>
      </c>
      <c r="H347" s="4">
        <f t="shared" si="7"/>
        <v>45450.083221589237</v>
      </c>
      <c r="I347" s="4">
        <f t="shared" si="7"/>
        <v>40754.70707714797</v>
      </c>
      <c r="J347" s="4">
        <f t="shared" si="7"/>
        <v>37009.5485705065</v>
      </c>
      <c r="K347" s="4">
        <f t="shared" si="7"/>
        <v>35733.796863952259</v>
      </c>
      <c r="L347" s="4">
        <f t="shared" si="7"/>
        <v>28093.084936137537</v>
      </c>
      <c r="M347" s="4">
        <f t="shared" si="7"/>
        <v>20762.000600262269</v>
      </c>
    </row>
    <row r="348" spans="1:28" x14ac:dyDescent="0.25">
      <c r="B348" s="4">
        <f t="shared" ref="B348:M348" si="8">B266+$B70+B42</f>
        <v>26704.206902382044</v>
      </c>
      <c r="C348" s="4">
        <f t="shared" si="8"/>
        <v>29101.580502885685</v>
      </c>
      <c r="D348" s="4">
        <f t="shared" si="8"/>
        <v>31836.24863919647</v>
      </c>
      <c r="E348" s="4">
        <f t="shared" si="8"/>
        <v>33094.325563306644</v>
      </c>
      <c r="F348" s="4">
        <f t="shared" si="8"/>
        <v>45855.986673298961</v>
      </c>
      <c r="G348" s="4">
        <f t="shared" si="8"/>
        <v>46904.011219067033</v>
      </c>
      <c r="H348" s="4">
        <f t="shared" si="8"/>
        <v>50993.315692691496</v>
      </c>
      <c r="I348" s="4">
        <f t="shared" si="8"/>
        <v>47541.508538666902</v>
      </c>
      <c r="J348" s="4">
        <f t="shared" si="8"/>
        <v>43785.80708765443</v>
      </c>
      <c r="K348" s="4">
        <f t="shared" si="8"/>
        <v>45714.019029349554</v>
      </c>
      <c r="L348" s="4">
        <f t="shared" si="8"/>
        <v>36264.042288917655</v>
      </c>
      <c r="M348" s="4">
        <f t="shared" si="8"/>
        <v>28369.337239444296</v>
      </c>
    </row>
    <row r="349" spans="1:28" x14ac:dyDescent="0.25">
      <c r="B349" s="4">
        <f t="shared" ref="B349:M349" si="9">B267+$B71+B43</f>
        <v>34292.883496428403</v>
      </c>
      <c r="C349" s="4">
        <f t="shared" si="9"/>
        <v>36247.865894206436</v>
      </c>
      <c r="D349" s="4">
        <f t="shared" si="9"/>
        <v>38495.724411731404</v>
      </c>
      <c r="E349" s="4">
        <f t="shared" si="9"/>
        <v>39036.189832244949</v>
      </c>
      <c r="F349" s="4">
        <f t="shared" si="9"/>
        <v>49033.76833366161</v>
      </c>
      <c r="G349" s="4">
        <f t="shared" si="9"/>
        <v>49631.068028593254</v>
      </c>
      <c r="H349" s="4">
        <f t="shared" si="9"/>
        <v>52764.271499517992</v>
      </c>
      <c r="I349" s="4">
        <f t="shared" si="9"/>
        <v>52936.810944165227</v>
      </c>
      <c r="J349" s="4">
        <f t="shared" si="9"/>
        <v>49360.423653976206</v>
      </c>
      <c r="K349" s="4">
        <f t="shared" si="9"/>
        <v>52141.966799177688</v>
      </c>
      <c r="L349" s="4">
        <f t="shared" si="9"/>
        <v>42763.434045571754</v>
      </c>
      <c r="M349" s="4">
        <f t="shared" si="9"/>
        <v>35255.50244980945</v>
      </c>
    </row>
    <row r="350" spans="1:28" x14ac:dyDescent="0.25">
      <c r="B350" s="4">
        <f t="shared" ref="B350:M350" si="10">B268+$B72+B44</f>
        <v>38435.996429838</v>
      </c>
      <c r="C350" s="4">
        <f t="shared" si="10"/>
        <v>40396.498679950193</v>
      </c>
      <c r="D350" s="4">
        <f t="shared" si="10"/>
        <v>41844.787796769982</v>
      </c>
      <c r="E350" s="4">
        <f t="shared" si="10"/>
        <v>42994.657248402786</v>
      </c>
      <c r="F350" s="4">
        <f t="shared" si="10"/>
        <v>51430.666113955667</v>
      </c>
      <c r="G350" s="4">
        <f t="shared" si="10"/>
        <v>52491.598885679428</v>
      </c>
      <c r="H350" s="4">
        <f t="shared" si="10"/>
        <v>56241.225149113357</v>
      </c>
      <c r="I350" s="4">
        <f t="shared" si="10"/>
        <v>56893.183631102045</v>
      </c>
      <c r="J350" s="4">
        <f t="shared" si="10"/>
        <v>52338.489361922664</v>
      </c>
      <c r="K350" s="4">
        <f t="shared" si="10"/>
        <v>55556.077667716185</v>
      </c>
      <c r="L350" s="4">
        <f t="shared" si="10"/>
        <v>46909.448628864469</v>
      </c>
      <c r="M350" s="4">
        <f t="shared" si="10"/>
        <v>41237.037242939674</v>
      </c>
    </row>
    <row r="351" spans="1:28" x14ac:dyDescent="0.25">
      <c r="B351" s="4">
        <f t="shared" ref="B351:M351" si="11">B269+$B73+B45</f>
        <v>40639.050699588843</v>
      </c>
      <c r="C351" s="4">
        <f t="shared" si="11"/>
        <v>41139.753222702668</v>
      </c>
      <c r="D351" s="4">
        <f t="shared" si="11"/>
        <v>44399.000084474523</v>
      </c>
      <c r="E351" s="4">
        <f t="shared" si="11"/>
        <v>45841.445662379439</v>
      </c>
      <c r="F351" s="4">
        <f t="shared" si="11"/>
        <v>51852.234586740851</v>
      </c>
      <c r="G351" s="4">
        <f t="shared" si="11"/>
        <v>52424.022111244216</v>
      </c>
      <c r="H351" s="4">
        <f t="shared" si="11"/>
        <v>57578.888016060926</v>
      </c>
      <c r="I351" s="4">
        <f t="shared" si="11"/>
        <v>59734.825205176516</v>
      </c>
      <c r="J351" s="4">
        <f t="shared" si="11"/>
        <v>55620.407242088622</v>
      </c>
      <c r="K351" s="4">
        <f t="shared" si="11"/>
        <v>58502.435832158328</v>
      </c>
      <c r="L351" s="4">
        <f t="shared" si="11"/>
        <v>49480.05374959149</v>
      </c>
      <c r="M351" s="4">
        <f t="shared" si="11"/>
        <v>42701.587542897534</v>
      </c>
    </row>
    <row r="352" spans="1:28" x14ac:dyDescent="0.25">
      <c r="B352" s="4">
        <f t="shared" ref="B352:M352" si="12">B270+$B74+B46</f>
        <v>41253.753851355032</v>
      </c>
      <c r="C352" s="4">
        <f t="shared" si="12"/>
        <v>43591.477618133693</v>
      </c>
      <c r="D352" s="4">
        <f t="shared" si="12"/>
        <v>45378.341936227269</v>
      </c>
      <c r="E352" s="4">
        <f t="shared" si="12"/>
        <v>46795.869747024466</v>
      </c>
      <c r="F352" s="4">
        <f t="shared" si="12"/>
        <v>52410.957928839314</v>
      </c>
      <c r="G352" s="4">
        <f t="shared" si="12"/>
        <v>53037.388068107801</v>
      </c>
      <c r="H352" s="4">
        <f t="shared" si="12"/>
        <v>58085.233117665965</v>
      </c>
      <c r="I352" s="4">
        <f t="shared" si="12"/>
        <v>60319.707602013848</v>
      </c>
      <c r="J352" s="4">
        <f t="shared" si="12"/>
        <v>56596.843358548394</v>
      </c>
      <c r="K352" s="4">
        <f t="shared" si="12"/>
        <v>58015.015664392631</v>
      </c>
      <c r="L352" s="4">
        <f t="shared" si="12"/>
        <v>50094.664426963267</v>
      </c>
      <c r="M352" s="4">
        <f t="shared" si="12"/>
        <v>44048.77322881412</v>
      </c>
    </row>
    <row r="353" spans="2:13" x14ac:dyDescent="0.25">
      <c r="B353" s="4">
        <f t="shared" ref="B353:M353" si="13">B271+$B75+B47</f>
        <v>41740.795419588852</v>
      </c>
      <c r="C353" s="4">
        <f t="shared" si="13"/>
        <v>42975.99442270265</v>
      </c>
      <c r="D353" s="4">
        <f t="shared" si="13"/>
        <v>45867.993044474519</v>
      </c>
      <c r="E353" s="4">
        <f t="shared" si="13"/>
        <v>45841.445662379439</v>
      </c>
      <c r="F353" s="4">
        <f t="shared" si="13"/>
        <v>52219.482826740837</v>
      </c>
      <c r="G353" s="4">
        <f t="shared" si="13"/>
        <v>53525.766831244197</v>
      </c>
      <c r="H353" s="4">
        <f t="shared" si="13"/>
        <v>57946.136256060934</v>
      </c>
      <c r="I353" s="4">
        <f t="shared" si="13"/>
        <v>60469.321685176517</v>
      </c>
      <c r="J353" s="4">
        <f t="shared" si="13"/>
        <v>56354.903722088624</v>
      </c>
      <c r="K353" s="4">
        <f t="shared" si="13"/>
        <v>57400.691112158282</v>
      </c>
      <c r="L353" s="4">
        <f t="shared" si="13"/>
        <v>49480.05374959149</v>
      </c>
      <c r="M353" s="4">
        <f t="shared" si="13"/>
        <v>44537.828742897545</v>
      </c>
    </row>
    <row r="354" spans="2:13" x14ac:dyDescent="0.25">
      <c r="B354" s="4">
        <f t="shared" ref="B354:M354" si="14">B272+$B76+B48</f>
        <v>39170.492909838023</v>
      </c>
      <c r="C354" s="4">
        <f t="shared" si="14"/>
        <v>42232.739879950175</v>
      </c>
      <c r="D354" s="4">
        <f t="shared" si="14"/>
        <v>44048.27723676998</v>
      </c>
      <c r="E354" s="4">
        <f t="shared" si="14"/>
        <v>45198.146688402812</v>
      </c>
      <c r="F354" s="4">
        <f t="shared" si="14"/>
        <v>51430.666113955667</v>
      </c>
      <c r="G354" s="4">
        <f t="shared" si="14"/>
        <v>52491.598885679428</v>
      </c>
      <c r="H354" s="4">
        <f t="shared" si="14"/>
        <v>57342.969869113382</v>
      </c>
      <c r="I354" s="4">
        <f t="shared" si="14"/>
        <v>59831.169551102073</v>
      </c>
      <c r="J354" s="4">
        <f t="shared" si="14"/>
        <v>55276.475281922656</v>
      </c>
      <c r="K354" s="4">
        <f t="shared" si="14"/>
        <v>55923.3259077162</v>
      </c>
      <c r="L354" s="4">
        <f t="shared" si="14"/>
        <v>48011.193348864486</v>
      </c>
      <c r="M354" s="4">
        <f t="shared" si="14"/>
        <v>41971.533722939675</v>
      </c>
    </row>
    <row r="355" spans="2:13" x14ac:dyDescent="0.25">
      <c r="B355" s="4">
        <f t="shared" ref="B355:M355" si="15">B273+$B77+B49</f>
        <v>36496.372936428401</v>
      </c>
      <c r="C355" s="4">
        <f t="shared" si="15"/>
        <v>39185.851814206435</v>
      </c>
      <c r="D355" s="4">
        <f t="shared" si="15"/>
        <v>41433.710331731432</v>
      </c>
      <c r="E355" s="4">
        <f t="shared" si="15"/>
        <v>43075.920472244958</v>
      </c>
      <c r="F355" s="4">
        <f t="shared" si="15"/>
        <v>49768.264813661634</v>
      </c>
      <c r="G355" s="4">
        <f t="shared" si="15"/>
        <v>51834.557468593281</v>
      </c>
      <c r="H355" s="4">
        <f t="shared" si="15"/>
        <v>55702.257419517984</v>
      </c>
      <c r="I355" s="4">
        <f t="shared" si="15"/>
        <v>55507.54862416524</v>
      </c>
      <c r="J355" s="4">
        <f t="shared" si="15"/>
        <v>51931.161333976212</v>
      </c>
      <c r="K355" s="4">
        <f t="shared" si="15"/>
        <v>52141.966799177688</v>
      </c>
      <c r="L355" s="4">
        <f t="shared" si="15"/>
        <v>43865.178765571764</v>
      </c>
      <c r="M355" s="4">
        <f t="shared" si="15"/>
        <v>39295.233089809488</v>
      </c>
    </row>
    <row r="356" spans="2:13" x14ac:dyDescent="0.25">
      <c r="B356" s="4">
        <f t="shared" ref="B356:M356" si="16">B274+$B78+B50</f>
        <v>31111.185782382039</v>
      </c>
      <c r="C356" s="4">
        <f t="shared" si="16"/>
        <v>34243.055862885682</v>
      </c>
      <c r="D356" s="4">
        <f t="shared" si="16"/>
        <v>36977.723999196431</v>
      </c>
      <c r="E356" s="4">
        <f t="shared" si="16"/>
        <v>37868.552683306654</v>
      </c>
      <c r="F356" s="4">
        <f t="shared" si="16"/>
        <v>47324.979633298943</v>
      </c>
      <c r="G356" s="4">
        <f t="shared" si="16"/>
        <v>51310.990099067014</v>
      </c>
      <c r="H356" s="4">
        <f t="shared" si="16"/>
        <v>53196.805132691472</v>
      </c>
      <c r="I356" s="4">
        <f t="shared" si="16"/>
        <v>51213.990938666931</v>
      </c>
      <c r="J356" s="4">
        <f t="shared" si="16"/>
        <v>47091.041247654437</v>
      </c>
      <c r="K356" s="4">
        <f t="shared" si="16"/>
        <v>45346.770789349539</v>
      </c>
      <c r="L356" s="4">
        <f t="shared" si="16"/>
        <v>38834.779968917639</v>
      </c>
      <c r="M356" s="4">
        <f t="shared" si="16"/>
        <v>35714.302039444286</v>
      </c>
    </row>
    <row r="357" spans="2:13" x14ac:dyDescent="0.25">
      <c r="B357" s="4">
        <f t="shared" ref="B357:M357" si="17">B275+$B79+B51</f>
        <v>24434.307088629794</v>
      </c>
      <c r="C357" s="4">
        <f t="shared" si="17"/>
        <v>28005.606980854591</v>
      </c>
      <c r="D357" s="4">
        <f t="shared" si="17"/>
        <v>31025.774338134077</v>
      </c>
      <c r="E357" s="4">
        <f t="shared" si="17"/>
        <v>33451.231899464445</v>
      </c>
      <c r="F357" s="4">
        <f t="shared" si="17"/>
        <v>43428.491546981568</v>
      </c>
      <c r="G357" s="4">
        <f t="shared" si="17"/>
        <v>47594.620225073464</v>
      </c>
      <c r="H357" s="4">
        <f t="shared" si="17"/>
        <v>49122.565621589267</v>
      </c>
      <c r="I357" s="4">
        <f t="shared" si="17"/>
        <v>46263.430677147982</v>
      </c>
      <c r="J357" s="4">
        <f t="shared" si="17"/>
        <v>42518.272170506505</v>
      </c>
      <c r="K357" s="4">
        <f t="shared" si="17"/>
        <v>38304.534543952235</v>
      </c>
      <c r="L357" s="4">
        <f t="shared" si="17"/>
        <v>31031.070856137532</v>
      </c>
      <c r="M357" s="4">
        <f t="shared" si="17"/>
        <v>30310.454840262253</v>
      </c>
    </row>
    <row r="358" spans="2:13" x14ac:dyDescent="0.25">
      <c r="B358" s="4">
        <f t="shared" ref="B358:M358" si="18">B276+$B80+B52</f>
        <v>20434.743805714294</v>
      </c>
      <c r="C358" s="4">
        <f t="shared" si="18"/>
        <v>22270.985005714276</v>
      </c>
      <c r="D358" s="4">
        <f t="shared" si="18"/>
        <v>23739.977965714272</v>
      </c>
      <c r="E358" s="4">
        <f t="shared" si="18"/>
        <v>24308.90269546277</v>
      </c>
      <c r="F358" s="4">
        <f t="shared" si="18"/>
        <v>34378.449100097932</v>
      </c>
      <c r="G358" s="4">
        <f t="shared" si="18"/>
        <v>38521.760609802528</v>
      </c>
      <c r="H358" s="4">
        <f t="shared" si="18"/>
        <v>39128.420518297957</v>
      </c>
      <c r="I358" s="4">
        <f t="shared" si="18"/>
        <v>36760.76417762135</v>
      </c>
      <c r="J358" s="4">
        <f t="shared" si="18"/>
        <v>36960.914605714308</v>
      </c>
      <c r="K358" s="4">
        <f t="shared" si="18"/>
        <v>33288.432205714285</v>
      </c>
      <c r="L358" s="4">
        <f t="shared" si="18"/>
        <v>28146.956845714292</v>
      </c>
      <c r="M358" s="4">
        <f t="shared" si="18"/>
        <v>27045.212125714279</v>
      </c>
    </row>
    <row r="359" spans="2:13" x14ac:dyDescent="0.25">
      <c r="B359" s="4">
        <f t="shared" ref="B359:M359" si="19">B277+$B81+B53</f>
        <v>18965.750845714294</v>
      </c>
      <c r="C359" s="4">
        <f t="shared" si="19"/>
        <v>20801.992045714276</v>
      </c>
      <c r="D359" s="4">
        <f t="shared" si="19"/>
        <v>21169.240285714288</v>
      </c>
      <c r="E359" s="4">
        <f t="shared" si="19"/>
        <v>21536.488525714303</v>
      </c>
      <c r="F359" s="4">
        <f t="shared" si="19"/>
        <v>27412.460365714294</v>
      </c>
      <c r="G359" s="4">
        <f t="shared" si="19"/>
        <v>29248.701565714306</v>
      </c>
      <c r="H359" s="4">
        <f t="shared" si="19"/>
        <v>32553.935725714317</v>
      </c>
      <c r="I359" s="4">
        <f t="shared" si="19"/>
        <v>33288.432205714285</v>
      </c>
      <c r="J359" s="4">
        <f t="shared" si="19"/>
        <v>34022.928685714316</v>
      </c>
      <c r="K359" s="4">
        <f t="shared" si="19"/>
        <v>32186.687485714301</v>
      </c>
      <c r="L359" s="4">
        <f t="shared" si="19"/>
        <v>27045.212125714279</v>
      </c>
      <c r="M359" s="4">
        <f t="shared" si="19"/>
        <v>24474.474445714299</v>
      </c>
    </row>
    <row r="360" spans="2:13" x14ac:dyDescent="0.25">
      <c r="B360" s="4">
        <f t="shared" ref="B360:M360" si="20">B278+$B82+B54</f>
        <v>18231.254365714296</v>
      </c>
      <c r="C360" s="4">
        <f t="shared" si="20"/>
        <v>18965.750845714294</v>
      </c>
      <c r="D360" s="4">
        <f t="shared" si="20"/>
        <v>19700.247325714292</v>
      </c>
      <c r="E360" s="4">
        <f t="shared" si="20"/>
        <v>21536.488525714303</v>
      </c>
      <c r="F360" s="4">
        <f t="shared" si="20"/>
        <v>26677.963885714296</v>
      </c>
      <c r="G360" s="4">
        <f t="shared" si="20"/>
        <v>28881.45332571429</v>
      </c>
      <c r="H360" s="4">
        <f t="shared" si="20"/>
        <v>31819.439245714286</v>
      </c>
      <c r="I360" s="4">
        <f t="shared" si="20"/>
        <v>32186.687485714301</v>
      </c>
      <c r="J360" s="4">
        <f t="shared" si="20"/>
        <v>33655.680445714301</v>
      </c>
      <c r="K360" s="4">
        <f t="shared" si="20"/>
        <v>31084.942765714288</v>
      </c>
      <c r="L360" s="4">
        <f t="shared" si="20"/>
        <v>26310.715645714281</v>
      </c>
      <c r="M360" s="4">
        <f t="shared" si="20"/>
        <v>23372.729725714315</v>
      </c>
    </row>
    <row r="361" spans="2:13" x14ac:dyDescent="0.25">
      <c r="B361" s="4">
        <f t="shared" ref="B361:M361" si="21">B279+$B83+B55</f>
        <v>17129.509645714279</v>
      </c>
      <c r="C361" s="4">
        <f t="shared" si="21"/>
        <v>17864.006125714281</v>
      </c>
      <c r="D361" s="4">
        <f t="shared" si="21"/>
        <v>18231.254365714296</v>
      </c>
      <c r="E361" s="4">
        <f t="shared" si="21"/>
        <v>20801.992045714276</v>
      </c>
      <c r="F361" s="4">
        <f t="shared" si="21"/>
        <v>25576.219165714283</v>
      </c>
      <c r="G361" s="4">
        <f t="shared" si="21"/>
        <v>28514.205085714279</v>
      </c>
      <c r="H361" s="4">
        <f t="shared" si="21"/>
        <v>31084.942765714288</v>
      </c>
      <c r="I361" s="4">
        <f t="shared" si="21"/>
        <v>31452.191005714274</v>
      </c>
      <c r="J361" s="4">
        <f t="shared" si="21"/>
        <v>32921.18396571427</v>
      </c>
      <c r="K361" s="4">
        <f t="shared" si="21"/>
        <v>29248.701565714306</v>
      </c>
      <c r="L361" s="4">
        <f t="shared" si="21"/>
        <v>25208.970925714297</v>
      </c>
      <c r="M361" s="4">
        <f t="shared" si="21"/>
        <v>22638.233245714287</v>
      </c>
    </row>
    <row r="362" spans="2:13" x14ac:dyDescent="0.25">
      <c r="B362" s="4">
        <f t="shared" ref="B362:M362" si="22">B280+$B84+B56</f>
        <v>15660.516685714312</v>
      </c>
      <c r="C362" s="4">
        <f t="shared" si="22"/>
        <v>16762.261405714296</v>
      </c>
      <c r="D362" s="4">
        <f t="shared" si="22"/>
        <v>16762.261405714296</v>
      </c>
      <c r="E362" s="4">
        <f t="shared" si="22"/>
        <v>19700.247325714292</v>
      </c>
      <c r="F362" s="4">
        <f t="shared" si="22"/>
        <v>24474.474445714299</v>
      </c>
      <c r="G362" s="4">
        <f t="shared" si="22"/>
        <v>28146.956845714292</v>
      </c>
      <c r="H362" s="4">
        <f t="shared" si="22"/>
        <v>30717.694525714305</v>
      </c>
      <c r="I362" s="4">
        <f t="shared" si="22"/>
        <v>30717.694525714305</v>
      </c>
      <c r="J362" s="4">
        <f t="shared" si="22"/>
        <v>32186.687485714301</v>
      </c>
      <c r="K362" s="4">
        <f t="shared" si="22"/>
        <v>27779.70860571431</v>
      </c>
      <c r="L362" s="4">
        <f t="shared" si="22"/>
        <v>23739.977965714272</v>
      </c>
      <c r="M362" s="4">
        <f t="shared" si="22"/>
        <v>21536.488525714303</v>
      </c>
    </row>
    <row r="363" spans="2:13" x14ac:dyDescent="0.25">
      <c r="B363" s="4">
        <f t="shared" ref="B363:M363" si="23">B281+$B85+B57</f>
        <v>-10619.302982857131</v>
      </c>
      <c r="C363" s="4">
        <f t="shared" si="23"/>
        <v>-10619.302982857131</v>
      </c>
      <c r="D363" s="4">
        <f t="shared" si="23"/>
        <v>-10252.054742857119</v>
      </c>
      <c r="E363" s="4">
        <f t="shared" si="23"/>
        <v>-6946.8205828571372</v>
      </c>
      <c r="F363" s="4">
        <f t="shared" si="23"/>
        <v>-2172.5934628571595</v>
      </c>
      <c r="G363" s="4">
        <f t="shared" si="23"/>
        <v>1499.8889371428631</v>
      </c>
      <c r="H363" s="4">
        <f t="shared" si="23"/>
        <v>4070.6266171428447</v>
      </c>
      <c r="I363" s="4">
        <f t="shared" si="23"/>
        <v>4437.8748571428587</v>
      </c>
      <c r="J363" s="4">
        <f t="shared" si="23"/>
        <v>5906.8678171428564</v>
      </c>
      <c r="K363" s="4">
        <f t="shared" si="23"/>
        <v>765.39245714286426</v>
      </c>
      <c r="L363" s="4">
        <f t="shared" si="23"/>
        <v>-2907.0899428571302</v>
      </c>
      <c r="M363" s="4">
        <f t="shared" si="23"/>
        <v>-5477.8276228571394</v>
      </c>
    </row>
    <row r="364" spans="2:13" x14ac:dyDescent="0.25">
      <c r="B364" s="4"/>
      <c r="C364" s="4"/>
      <c r="D364" s="4"/>
      <c r="E364" s="4"/>
      <c r="F364" s="4"/>
      <c r="G364" s="4"/>
      <c r="H364" s="4"/>
      <c r="I364" s="4"/>
      <c r="J364" s="4"/>
      <c r="K364" s="4"/>
      <c r="L364" s="4"/>
      <c r="M364" s="4"/>
    </row>
    <row r="365" spans="2:13" x14ac:dyDescent="0.25">
      <c r="B365">
        <f>B314-B340</f>
        <v>0</v>
      </c>
      <c r="C365" s="4">
        <f t="shared" ref="C365:M365" si="24">C314-C340</f>
        <v>0</v>
      </c>
      <c r="D365" s="4">
        <f t="shared" si="24"/>
        <v>0</v>
      </c>
      <c r="E365" s="4">
        <f t="shared" si="24"/>
        <v>0</v>
      </c>
      <c r="F365" s="4">
        <f t="shared" si="24"/>
        <v>0</v>
      </c>
      <c r="G365" s="4">
        <f t="shared" si="24"/>
        <v>0</v>
      </c>
      <c r="H365" s="4">
        <f t="shared" si="24"/>
        <v>0</v>
      </c>
      <c r="I365" s="4">
        <f t="shared" si="24"/>
        <v>0</v>
      </c>
      <c r="J365" s="4">
        <f t="shared" si="24"/>
        <v>0</v>
      </c>
      <c r="K365" s="4">
        <f t="shared" si="24"/>
        <v>0</v>
      </c>
      <c r="L365" s="4">
        <f t="shared" si="24"/>
        <v>0</v>
      </c>
      <c r="M365" s="4">
        <f t="shared" si="24"/>
        <v>0</v>
      </c>
    </row>
    <row r="366" spans="2:13" x14ac:dyDescent="0.25">
      <c r="B366" s="4">
        <f t="shared" ref="B366:M366" si="25">B315-B341</f>
        <v>0</v>
      </c>
      <c r="C366" s="4">
        <f t="shared" si="25"/>
        <v>0</v>
      </c>
      <c r="D366" s="4">
        <f t="shared" si="25"/>
        <v>0</v>
      </c>
      <c r="E366" s="4">
        <f t="shared" si="25"/>
        <v>0</v>
      </c>
      <c r="F366" s="4">
        <f t="shared" si="25"/>
        <v>0</v>
      </c>
      <c r="G366" s="4">
        <f t="shared" si="25"/>
        <v>0</v>
      </c>
      <c r="H366" s="4">
        <f t="shared" si="25"/>
        <v>0</v>
      </c>
      <c r="I366" s="4">
        <f t="shared" si="25"/>
        <v>0</v>
      </c>
      <c r="J366" s="4">
        <f t="shared" si="25"/>
        <v>0</v>
      </c>
      <c r="K366" s="4">
        <f t="shared" si="25"/>
        <v>0</v>
      </c>
      <c r="L366" s="4">
        <f t="shared" si="25"/>
        <v>0</v>
      </c>
      <c r="M366" s="4">
        <f t="shared" si="25"/>
        <v>0</v>
      </c>
    </row>
    <row r="367" spans="2:13" x14ac:dyDescent="0.25">
      <c r="B367" s="4">
        <f t="shared" ref="B367:M367" si="26">B316-B342</f>
        <v>0</v>
      </c>
      <c r="C367" s="4">
        <f t="shared" si="26"/>
        <v>0</v>
      </c>
      <c r="D367" s="4">
        <f t="shared" si="26"/>
        <v>0</v>
      </c>
      <c r="E367" s="4">
        <f t="shared" si="26"/>
        <v>0</v>
      </c>
      <c r="F367" s="4">
        <f t="shared" si="26"/>
        <v>0</v>
      </c>
      <c r="G367" s="4">
        <f t="shared" si="26"/>
        <v>0</v>
      </c>
      <c r="H367" s="4">
        <f t="shared" si="26"/>
        <v>0</v>
      </c>
      <c r="I367" s="4">
        <f t="shared" si="26"/>
        <v>0</v>
      </c>
      <c r="J367" s="4">
        <f t="shared" si="26"/>
        <v>0</v>
      </c>
      <c r="K367" s="4">
        <f t="shared" si="26"/>
        <v>0</v>
      </c>
      <c r="L367" s="4">
        <f t="shared" si="26"/>
        <v>0</v>
      </c>
      <c r="M367" s="4">
        <f t="shared" si="26"/>
        <v>0</v>
      </c>
    </row>
    <row r="368" spans="2:13" x14ac:dyDescent="0.25">
      <c r="B368" s="4">
        <f t="shared" ref="B368:M368" si="27">B317-B343</f>
        <v>0</v>
      </c>
      <c r="C368" s="4">
        <f t="shared" si="27"/>
        <v>0</v>
      </c>
      <c r="D368" s="4">
        <f t="shared" si="27"/>
        <v>0</v>
      </c>
      <c r="E368" s="4">
        <f t="shared" si="27"/>
        <v>0</v>
      </c>
      <c r="F368" s="4">
        <f t="shared" si="27"/>
        <v>0</v>
      </c>
      <c r="G368" s="4">
        <f t="shared" si="27"/>
        <v>0</v>
      </c>
      <c r="H368" s="4">
        <f t="shared" si="27"/>
        <v>0</v>
      </c>
      <c r="I368" s="4">
        <f t="shared" si="27"/>
        <v>0</v>
      </c>
      <c r="J368" s="4">
        <f t="shared" si="27"/>
        <v>0</v>
      </c>
      <c r="K368" s="4">
        <f t="shared" si="27"/>
        <v>0</v>
      </c>
      <c r="L368" s="4">
        <f t="shared" si="27"/>
        <v>0</v>
      </c>
      <c r="M368" s="4">
        <f t="shared" si="27"/>
        <v>0</v>
      </c>
    </row>
    <row r="369" spans="2:13" x14ac:dyDescent="0.25">
      <c r="B369" s="4">
        <f t="shared" ref="B369:M369" si="28">B318-B344</f>
        <v>0</v>
      </c>
      <c r="C369" s="4">
        <f t="shared" si="28"/>
        <v>0</v>
      </c>
      <c r="D369" s="4">
        <f t="shared" si="28"/>
        <v>0</v>
      </c>
      <c r="E369" s="4">
        <f t="shared" si="28"/>
        <v>0</v>
      </c>
      <c r="F369" s="4">
        <f t="shared" si="28"/>
        <v>0</v>
      </c>
      <c r="G369" s="4">
        <f t="shared" si="28"/>
        <v>0</v>
      </c>
      <c r="H369" s="4">
        <f t="shared" si="28"/>
        <v>0</v>
      </c>
      <c r="I369" s="4">
        <f t="shared" si="28"/>
        <v>0</v>
      </c>
      <c r="J369" s="4">
        <f t="shared" si="28"/>
        <v>0</v>
      </c>
      <c r="K369" s="4">
        <f t="shared" si="28"/>
        <v>0</v>
      </c>
      <c r="L369" s="4">
        <f t="shared" si="28"/>
        <v>0</v>
      </c>
      <c r="M369" s="4">
        <f t="shared" si="28"/>
        <v>0</v>
      </c>
    </row>
    <row r="370" spans="2:13" x14ac:dyDescent="0.25">
      <c r="B370" s="4">
        <f t="shared" ref="B370:M370" si="29">B319-B345</f>
        <v>0</v>
      </c>
      <c r="C370" s="4">
        <f t="shared" si="29"/>
        <v>0</v>
      </c>
      <c r="D370" s="4">
        <f t="shared" si="29"/>
        <v>0</v>
      </c>
      <c r="E370" s="4">
        <f t="shared" si="29"/>
        <v>0</v>
      </c>
      <c r="F370" s="4">
        <f t="shared" si="29"/>
        <v>0</v>
      </c>
      <c r="G370" s="4">
        <f t="shared" si="29"/>
        <v>0</v>
      </c>
      <c r="H370" s="4">
        <f t="shared" si="29"/>
        <v>0</v>
      </c>
      <c r="I370" s="4">
        <f t="shared" si="29"/>
        <v>0</v>
      </c>
      <c r="J370" s="4">
        <f t="shared" si="29"/>
        <v>0</v>
      </c>
      <c r="K370" s="4">
        <f t="shared" si="29"/>
        <v>0</v>
      </c>
      <c r="L370" s="4">
        <f t="shared" si="29"/>
        <v>0</v>
      </c>
      <c r="M370" s="4">
        <f t="shared" si="29"/>
        <v>0</v>
      </c>
    </row>
    <row r="371" spans="2:13" x14ac:dyDescent="0.25">
      <c r="B371" s="4">
        <f t="shared" ref="B371:M371" si="30">B320-B346</f>
        <v>-25912.571428571431</v>
      </c>
      <c r="C371" s="4">
        <f t="shared" si="30"/>
        <v>-25912.571428571431</v>
      </c>
      <c r="D371" s="4">
        <f t="shared" si="30"/>
        <v>-25912.571428571431</v>
      </c>
      <c r="E371" s="4">
        <f t="shared" si="30"/>
        <v>-25912.571428571435</v>
      </c>
      <c r="F371" s="4">
        <f t="shared" si="30"/>
        <v>-25912.571428571431</v>
      </c>
      <c r="G371" s="4">
        <f t="shared" si="30"/>
        <v>-25912.571428571435</v>
      </c>
      <c r="H371" s="4">
        <f t="shared" si="30"/>
        <v>-25912.571428571428</v>
      </c>
      <c r="I371" s="4">
        <f t="shared" si="30"/>
        <v>-25912.571428571431</v>
      </c>
      <c r="J371" s="4">
        <f t="shared" si="30"/>
        <v>-25912.571428571431</v>
      </c>
      <c r="K371" s="4">
        <f t="shared" si="30"/>
        <v>-25912.571428571435</v>
      </c>
      <c r="L371" s="4">
        <f t="shared" si="30"/>
        <v>-25912.571428571435</v>
      </c>
      <c r="M371" s="4">
        <f t="shared" si="30"/>
        <v>-25912.571428571431</v>
      </c>
    </row>
    <row r="372" spans="2:13" x14ac:dyDescent="0.25">
      <c r="B372" s="4">
        <f t="shared" ref="B372:M372" si="31">B321-B347</f>
        <v>-25912.571428571431</v>
      </c>
      <c r="C372" s="4">
        <f t="shared" si="31"/>
        <v>-25912.571428571428</v>
      </c>
      <c r="D372" s="4">
        <f t="shared" si="31"/>
        <v>-25912.571428571428</v>
      </c>
      <c r="E372" s="4">
        <f t="shared" si="31"/>
        <v>-25912.571428571428</v>
      </c>
      <c r="F372" s="4">
        <f t="shared" si="31"/>
        <v>-25912.571428571431</v>
      </c>
      <c r="G372" s="4">
        <f t="shared" si="31"/>
        <v>-25912.571428571438</v>
      </c>
      <c r="H372" s="4">
        <f t="shared" si="31"/>
        <v>-25912.571428571428</v>
      </c>
      <c r="I372" s="4">
        <f t="shared" si="31"/>
        <v>-25912.571428571435</v>
      </c>
      <c r="J372" s="4">
        <f t="shared" si="31"/>
        <v>-25912.571428571435</v>
      </c>
      <c r="K372" s="4">
        <f t="shared" si="31"/>
        <v>-25912.571428571435</v>
      </c>
      <c r="L372" s="4">
        <f t="shared" si="31"/>
        <v>-25912.571428571435</v>
      </c>
      <c r="M372" s="4">
        <f t="shared" si="31"/>
        <v>-25912.571428571428</v>
      </c>
    </row>
    <row r="373" spans="2:13" x14ac:dyDescent="0.25">
      <c r="B373" s="4">
        <f t="shared" ref="B373:M373" si="32">B322-B348</f>
        <v>-25912.571428571435</v>
      </c>
      <c r="C373" s="4">
        <f t="shared" si="32"/>
        <v>-25912.571428571431</v>
      </c>
      <c r="D373" s="4">
        <f t="shared" si="32"/>
        <v>-25912.571428571431</v>
      </c>
      <c r="E373" s="4">
        <f t="shared" si="32"/>
        <v>-25912.571428571428</v>
      </c>
      <c r="F373" s="4">
        <f t="shared" si="32"/>
        <v>-25912.571428571431</v>
      </c>
      <c r="G373" s="4">
        <f t="shared" si="32"/>
        <v>-25912.571428571431</v>
      </c>
      <c r="H373" s="4">
        <f t="shared" si="32"/>
        <v>-25912.571428571424</v>
      </c>
      <c r="I373" s="4">
        <f t="shared" si="32"/>
        <v>-25912.571428571428</v>
      </c>
      <c r="J373" s="4">
        <f t="shared" si="32"/>
        <v>-25912.571428571435</v>
      </c>
      <c r="K373" s="4">
        <f t="shared" si="32"/>
        <v>-25912.571428571435</v>
      </c>
      <c r="L373" s="4">
        <f t="shared" si="32"/>
        <v>-25912.571428571428</v>
      </c>
      <c r="M373" s="4">
        <f t="shared" si="32"/>
        <v>-25912.571428571435</v>
      </c>
    </row>
    <row r="374" spans="2:13" x14ac:dyDescent="0.25">
      <c r="B374" s="4">
        <f t="shared" ref="B374:M374" si="33">B323-B349</f>
        <v>-25912.571428571431</v>
      </c>
      <c r="C374" s="4">
        <f t="shared" si="33"/>
        <v>-25912.571428571428</v>
      </c>
      <c r="D374" s="4">
        <f t="shared" si="33"/>
        <v>-25912.571428571428</v>
      </c>
      <c r="E374" s="4">
        <f t="shared" si="33"/>
        <v>-25912.571428571431</v>
      </c>
      <c r="F374" s="4">
        <f t="shared" si="33"/>
        <v>-25912.571428571431</v>
      </c>
      <c r="G374" s="4">
        <f t="shared" si="33"/>
        <v>-25912.571428571431</v>
      </c>
      <c r="H374" s="4">
        <f t="shared" si="33"/>
        <v>-25912.571428571428</v>
      </c>
      <c r="I374" s="4">
        <f t="shared" si="33"/>
        <v>-25912.571428571435</v>
      </c>
      <c r="J374" s="4">
        <f t="shared" si="33"/>
        <v>-25912.571428571435</v>
      </c>
      <c r="K374" s="4">
        <f t="shared" si="33"/>
        <v>-25912.571428571424</v>
      </c>
      <c r="L374" s="4">
        <f t="shared" si="33"/>
        <v>-25912.571428571435</v>
      </c>
      <c r="M374" s="4">
        <f t="shared" si="33"/>
        <v>-25912.571428571435</v>
      </c>
    </row>
    <row r="375" spans="2:13" x14ac:dyDescent="0.25">
      <c r="B375" s="4">
        <f t="shared" ref="B375:M375" si="34">B324-B350</f>
        <v>-25912.571428571435</v>
      </c>
      <c r="C375" s="4">
        <f t="shared" si="34"/>
        <v>-25912.571428571431</v>
      </c>
      <c r="D375" s="4">
        <f t="shared" si="34"/>
        <v>-25912.571428571435</v>
      </c>
      <c r="E375" s="4">
        <f t="shared" si="34"/>
        <v>-25912.571428571424</v>
      </c>
      <c r="F375" s="4">
        <f t="shared" si="34"/>
        <v>-25912.571428571428</v>
      </c>
      <c r="G375" s="4">
        <f t="shared" si="34"/>
        <v>-25912.571428571435</v>
      </c>
      <c r="H375" s="4">
        <f t="shared" si="34"/>
        <v>-25912.571428571428</v>
      </c>
      <c r="I375" s="4">
        <f t="shared" si="34"/>
        <v>-25912.571428571431</v>
      </c>
      <c r="J375" s="4">
        <f t="shared" si="34"/>
        <v>-25912.571428571435</v>
      </c>
      <c r="K375" s="4">
        <f t="shared" si="34"/>
        <v>-25912.571428571431</v>
      </c>
      <c r="L375" s="4">
        <f t="shared" si="34"/>
        <v>-25912.571428571428</v>
      </c>
      <c r="M375" s="4">
        <f t="shared" si="34"/>
        <v>-25912.571428571431</v>
      </c>
    </row>
    <row r="376" spans="2:13" x14ac:dyDescent="0.25">
      <c r="B376" s="4">
        <f t="shared" ref="B376:M376" si="35">B325-B351</f>
        <v>-25912.571428571431</v>
      </c>
      <c r="C376" s="4">
        <f t="shared" si="35"/>
        <v>-25912.571428571435</v>
      </c>
      <c r="D376" s="4">
        <f t="shared" si="35"/>
        <v>-25912.571428571431</v>
      </c>
      <c r="E376" s="4">
        <f t="shared" si="35"/>
        <v>-25912.571428571428</v>
      </c>
      <c r="F376" s="4">
        <f t="shared" si="35"/>
        <v>-25912.571428571431</v>
      </c>
      <c r="G376" s="4">
        <f t="shared" si="35"/>
        <v>-25912.571428571435</v>
      </c>
      <c r="H376" s="4">
        <f t="shared" si="35"/>
        <v>-25912.571428571435</v>
      </c>
      <c r="I376" s="4">
        <f t="shared" si="35"/>
        <v>-25912.57142857142</v>
      </c>
      <c r="J376" s="4">
        <f t="shared" si="35"/>
        <v>-25912.571428571424</v>
      </c>
      <c r="K376" s="4">
        <f t="shared" si="35"/>
        <v>-25912.571428571431</v>
      </c>
      <c r="L376" s="4">
        <f t="shared" si="35"/>
        <v>-25912.571428571431</v>
      </c>
      <c r="M376" s="4">
        <f t="shared" si="35"/>
        <v>-25912.571428571431</v>
      </c>
    </row>
    <row r="377" spans="2:13" x14ac:dyDescent="0.25">
      <c r="B377" s="4">
        <f t="shared" ref="B377:M377" si="36">B326-B352</f>
        <v>0</v>
      </c>
      <c r="C377" s="4">
        <f t="shared" si="36"/>
        <v>0</v>
      </c>
      <c r="D377" s="4">
        <f t="shared" si="36"/>
        <v>0</v>
      </c>
      <c r="E377" s="4">
        <f t="shared" si="36"/>
        <v>0</v>
      </c>
      <c r="F377" s="4">
        <f t="shared" si="36"/>
        <v>0</v>
      </c>
      <c r="G377" s="4">
        <f t="shared" si="36"/>
        <v>0</v>
      </c>
      <c r="H377" s="4">
        <f t="shared" si="36"/>
        <v>0</v>
      </c>
      <c r="I377" s="4">
        <f t="shared" si="36"/>
        <v>0</v>
      </c>
      <c r="J377" s="4">
        <f t="shared" si="36"/>
        <v>0</v>
      </c>
      <c r="K377" s="4">
        <f t="shared" si="36"/>
        <v>0</v>
      </c>
      <c r="L377" s="4">
        <f t="shared" si="36"/>
        <v>0</v>
      </c>
      <c r="M377" s="4">
        <f t="shared" si="36"/>
        <v>0</v>
      </c>
    </row>
    <row r="378" spans="2:13" x14ac:dyDescent="0.25">
      <c r="B378" s="4">
        <f t="shared" ref="B378:M378" si="37">B327-B353</f>
        <v>0</v>
      </c>
      <c r="C378" s="4">
        <f t="shared" si="37"/>
        <v>0</v>
      </c>
      <c r="D378" s="4">
        <f t="shared" si="37"/>
        <v>0</v>
      </c>
      <c r="E378" s="4">
        <f t="shared" si="37"/>
        <v>0</v>
      </c>
      <c r="F378" s="4">
        <f t="shared" si="37"/>
        <v>0</v>
      </c>
      <c r="G378" s="4">
        <f t="shared" si="37"/>
        <v>0</v>
      </c>
      <c r="H378" s="4">
        <f t="shared" si="37"/>
        <v>0</v>
      </c>
      <c r="I378" s="4">
        <f t="shared" si="37"/>
        <v>0</v>
      </c>
      <c r="J378" s="4">
        <f t="shared" si="37"/>
        <v>0</v>
      </c>
      <c r="K378" s="4">
        <f t="shared" si="37"/>
        <v>0</v>
      </c>
      <c r="L378" s="4">
        <f t="shared" si="37"/>
        <v>0</v>
      </c>
      <c r="M378" s="4">
        <f t="shared" si="37"/>
        <v>0</v>
      </c>
    </row>
    <row r="379" spans="2:13" x14ac:dyDescent="0.25">
      <c r="B379" s="4">
        <f>B328-B354</f>
        <v>0</v>
      </c>
      <c r="C379" s="4">
        <f t="shared" ref="C379:M379" si="38">C328-C354</f>
        <v>0</v>
      </c>
      <c r="D379" s="4">
        <f t="shared" si="38"/>
        <v>0</v>
      </c>
      <c r="E379" s="4">
        <f t="shared" si="38"/>
        <v>0</v>
      </c>
      <c r="F379" s="4">
        <f t="shared" si="38"/>
        <v>0</v>
      </c>
      <c r="G379" s="4">
        <f t="shared" si="38"/>
        <v>0</v>
      </c>
      <c r="H379" s="4">
        <f t="shared" si="38"/>
        <v>0</v>
      </c>
      <c r="I379" s="4">
        <f t="shared" si="38"/>
        <v>0</v>
      </c>
      <c r="J379" s="4">
        <f t="shared" si="38"/>
        <v>0</v>
      </c>
      <c r="K379" s="4">
        <f t="shared" si="38"/>
        <v>0</v>
      </c>
      <c r="L379" s="4">
        <f t="shared" si="38"/>
        <v>0</v>
      </c>
      <c r="M379" s="4">
        <f t="shared" si="38"/>
        <v>0</v>
      </c>
    </row>
    <row r="380" spans="2:13" x14ac:dyDescent="0.25">
      <c r="B380" s="4">
        <f t="shared" ref="B380:M380" si="39">B329-B355</f>
        <v>0</v>
      </c>
      <c r="C380" s="4">
        <f t="shared" si="39"/>
        <v>0</v>
      </c>
      <c r="D380" s="4">
        <f t="shared" si="39"/>
        <v>0</v>
      </c>
      <c r="E380" s="4">
        <f t="shared" si="39"/>
        <v>0</v>
      </c>
      <c r="F380" s="4">
        <f t="shared" si="39"/>
        <v>0</v>
      </c>
      <c r="G380" s="4">
        <f t="shared" si="39"/>
        <v>0</v>
      </c>
      <c r="H380" s="4">
        <f t="shared" si="39"/>
        <v>0</v>
      </c>
      <c r="I380" s="4">
        <f t="shared" si="39"/>
        <v>0</v>
      </c>
      <c r="J380" s="4">
        <f t="shared" si="39"/>
        <v>0</v>
      </c>
      <c r="K380" s="4">
        <f t="shared" si="39"/>
        <v>0</v>
      </c>
      <c r="L380" s="4">
        <f t="shared" si="39"/>
        <v>0</v>
      </c>
      <c r="M380" s="4">
        <f t="shared" si="39"/>
        <v>0</v>
      </c>
    </row>
    <row r="381" spans="2:13" x14ac:dyDescent="0.25">
      <c r="B381" s="4">
        <f t="shared" ref="B381:M381" si="40">B330-B356</f>
        <v>0</v>
      </c>
      <c r="C381" s="4">
        <f t="shared" si="40"/>
        <v>0</v>
      </c>
      <c r="D381" s="4">
        <f t="shared" si="40"/>
        <v>0</v>
      </c>
      <c r="E381" s="4">
        <f t="shared" si="40"/>
        <v>0</v>
      </c>
      <c r="F381" s="4">
        <f t="shared" si="40"/>
        <v>0</v>
      </c>
      <c r="G381" s="4">
        <f t="shared" si="40"/>
        <v>0</v>
      </c>
      <c r="H381" s="4">
        <f t="shared" si="40"/>
        <v>0</v>
      </c>
      <c r="I381" s="4">
        <f t="shared" si="40"/>
        <v>0</v>
      </c>
      <c r="J381" s="4">
        <f t="shared" si="40"/>
        <v>0</v>
      </c>
      <c r="K381" s="4">
        <f t="shared" si="40"/>
        <v>0</v>
      </c>
      <c r="L381" s="4">
        <f t="shared" si="40"/>
        <v>0</v>
      </c>
      <c r="M381" s="4">
        <f t="shared" si="40"/>
        <v>0</v>
      </c>
    </row>
    <row r="382" spans="2:13" x14ac:dyDescent="0.25">
      <c r="B382" s="4">
        <f t="shared" ref="B382:M382" si="41">B331-B357</f>
        <v>0</v>
      </c>
      <c r="C382" s="4">
        <f t="shared" si="41"/>
        <v>0</v>
      </c>
      <c r="D382" s="4">
        <f t="shared" si="41"/>
        <v>0</v>
      </c>
      <c r="E382" s="4">
        <f t="shared" si="41"/>
        <v>0</v>
      </c>
      <c r="F382" s="4">
        <f t="shared" si="41"/>
        <v>0</v>
      </c>
      <c r="G382" s="4">
        <f t="shared" si="41"/>
        <v>0</v>
      </c>
      <c r="H382" s="4">
        <f t="shared" si="41"/>
        <v>0</v>
      </c>
      <c r="I382" s="4">
        <f t="shared" si="41"/>
        <v>0</v>
      </c>
      <c r="J382" s="4">
        <f t="shared" si="41"/>
        <v>0</v>
      </c>
      <c r="K382" s="4">
        <f t="shared" si="41"/>
        <v>0</v>
      </c>
      <c r="L382" s="4">
        <f t="shared" si="41"/>
        <v>0</v>
      </c>
      <c r="M382" s="4">
        <f t="shared" si="41"/>
        <v>0</v>
      </c>
    </row>
    <row r="383" spans="2:13" x14ac:dyDescent="0.25">
      <c r="B383" s="4">
        <f t="shared" ref="B383:M383" si="42">B332-B358</f>
        <v>0</v>
      </c>
      <c r="C383" s="4">
        <f t="shared" si="42"/>
        <v>0</v>
      </c>
      <c r="D383" s="4">
        <f t="shared" si="42"/>
        <v>0</v>
      </c>
      <c r="E383" s="4">
        <f t="shared" si="42"/>
        <v>0</v>
      </c>
      <c r="F383" s="4">
        <f t="shared" si="42"/>
        <v>0</v>
      </c>
      <c r="G383" s="4">
        <f t="shared" si="42"/>
        <v>0</v>
      </c>
      <c r="H383" s="4">
        <f t="shared" si="42"/>
        <v>0</v>
      </c>
      <c r="I383" s="4">
        <f t="shared" si="42"/>
        <v>0</v>
      </c>
      <c r="J383" s="4">
        <f t="shared" si="42"/>
        <v>0</v>
      </c>
      <c r="K383" s="4">
        <f t="shared" si="42"/>
        <v>0</v>
      </c>
      <c r="L383" s="4">
        <f t="shared" si="42"/>
        <v>0</v>
      </c>
      <c r="M383" s="4">
        <f t="shared" si="42"/>
        <v>0</v>
      </c>
    </row>
    <row r="384" spans="2:13" x14ac:dyDescent="0.25">
      <c r="B384" s="4">
        <f t="shared" ref="B384:M384" si="43">B333-B359</f>
        <v>0</v>
      </c>
      <c r="C384" s="4">
        <f t="shared" si="43"/>
        <v>0</v>
      </c>
      <c r="D384" s="4">
        <f t="shared" si="43"/>
        <v>0</v>
      </c>
      <c r="E384" s="4">
        <f t="shared" si="43"/>
        <v>0</v>
      </c>
      <c r="F384" s="4">
        <f t="shared" si="43"/>
        <v>0</v>
      </c>
      <c r="G384" s="4">
        <f t="shared" si="43"/>
        <v>0</v>
      </c>
      <c r="H384" s="4">
        <f t="shared" si="43"/>
        <v>0</v>
      </c>
      <c r="I384" s="4">
        <f t="shared" si="43"/>
        <v>0</v>
      </c>
      <c r="J384" s="4">
        <f t="shared" si="43"/>
        <v>0</v>
      </c>
      <c r="K384" s="4">
        <f t="shared" si="43"/>
        <v>0</v>
      </c>
      <c r="L384" s="4">
        <f t="shared" si="43"/>
        <v>0</v>
      </c>
      <c r="M384" s="4">
        <f t="shared" si="43"/>
        <v>0</v>
      </c>
    </row>
    <row r="385" spans="2:13" x14ac:dyDescent="0.25">
      <c r="B385" s="4">
        <f t="shared" ref="B385:M385" si="44">B334-B360</f>
        <v>0</v>
      </c>
      <c r="C385" s="4">
        <f t="shared" si="44"/>
        <v>0</v>
      </c>
      <c r="D385" s="4">
        <f t="shared" si="44"/>
        <v>0</v>
      </c>
      <c r="E385" s="4">
        <f t="shared" si="44"/>
        <v>0</v>
      </c>
      <c r="F385" s="4">
        <f t="shared" si="44"/>
        <v>0</v>
      </c>
      <c r="G385" s="4">
        <f t="shared" si="44"/>
        <v>0</v>
      </c>
      <c r="H385" s="4">
        <f t="shared" si="44"/>
        <v>0</v>
      </c>
      <c r="I385" s="4">
        <f t="shared" si="44"/>
        <v>0</v>
      </c>
      <c r="J385" s="4">
        <f t="shared" si="44"/>
        <v>0</v>
      </c>
      <c r="K385" s="4">
        <f t="shared" si="44"/>
        <v>0</v>
      </c>
      <c r="L385" s="4">
        <f t="shared" si="44"/>
        <v>0</v>
      </c>
      <c r="M385" s="4">
        <f t="shared" si="4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111"/>
  <sheetViews>
    <sheetView topLeftCell="A91" workbookViewId="0">
      <selection activeCell="H53" sqref="H53"/>
    </sheetView>
  </sheetViews>
  <sheetFormatPr defaultRowHeight="15" x14ac:dyDescent="0.25"/>
  <sheetData>
    <row r="1" spans="1:28" s="4" customFormat="1" x14ac:dyDescent="0.25"/>
    <row r="2" spans="1:28" x14ac:dyDescent="0.25">
      <c r="A2" s="4" t="s">
        <v>103</v>
      </c>
      <c r="B2" s="4"/>
      <c r="C2" s="4"/>
      <c r="D2" s="4"/>
      <c r="E2" s="4"/>
      <c r="F2" s="4"/>
      <c r="G2" s="4"/>
      <c r="H2" s="4"/>
      <c r="I2" s="4"/>
      <c r="J2" s="4"/>
      <c r="K2" s="4"/>
      <c r="L2" s="4"/>
      <c r="M2" s="4"/>
      <c r="N2" s="4"/>
      <c r="O2" s="4"/>
      <c r="P2" s="4" t="s">
        <v>103</v>
      </c>
      <c r="Q2" s="4"/>
      <c r="R2" s="4"/>
      <c r="S2" s="4"/>
      <c r="T2" s="4"/>
      <c r="U2" s="4"/>
      <c r="V2" s="4"/>
      <c r="W2" s="4"/>
      <c r="X2" s="4"/>
      <c r="Y2" s="4"/>
      <c r="Z2" s="4"/>
      <c r="AA2" s="4"/>
      <c r="AB2" s="4"/>
    </row>
    <row r="3" spans="1:28" x14ac:dyDescent="0.25">
      <c r="A3" s="4"/>
      <c r="B3" s="4" t="s">
        <v>1</v>
      </c>
      <c r="C3" s="4" t="s">
        <v>2</v>
      </c>
      <c r="D3" s="4" t="s">
        <v>3</v>
      </c>
      <c r="E3" s="4" t="s">
        <v>4</v>
      </c>
      <c r="F3" s="4" t="s">
        <v>5</v>
      </c>
      <c r="G3" s="4" t="s">
        <v>6</v>
      </c>
      <c r="H3" s="4" t="s">
        <v>7</v>
      </c>
      <c r="I3" s="4" t="s">
        <v>8</v>
      </c>
      <c r="J3" s="4" t="s">
        <v>9</v>
      </c>
      <c r="K3" s="4" t="s">
        <v>10</v>
      </c>
      <c r="L3" s="4" t="s">
        <v>11</v>
      </c>
      <c r="M3" s="4" t="s">
        <v>12</v>
      </c>
      <c r="N3" s="4"/>
      <c r="O3" s="4"/>
      <c r="P3" s="4"/>
      <c r="Q3" s="4" t="s">
        <v>1</v>
      </c>
      <c r="R3" s="4" t="s">
        <v>2</v>
      </c>
      <c r="S3" s="4" t="s">
        <v>3</v>
      </c>
      <c r="T3" s="4" t="s">
        <v>4</v>
      </c>
      <c r="U3" s="4" t="s">
        <v>5</v>
      </c>
      <c r="V3" s="4" t="s">
        <v>6</v>
      </c>
      <c r="W3" s="4" t="s">
        <v>7</v>
      </c>
      <c r="X3" s="4" t="s">
        <v>8</v>
      </c>
      <c r="Y3" s="4" t="s">
        <v>9</v>
      </c>
      <c r="Z3" s="4" t="s">
        <v>10</v>
      </c>
      <c r="AA3" s="4" t="s">
        <v>11</v>
      </c>
      <c r="AB3" s="4" t="s">
        <v>12</v>
      </c>
    </row>
    <row r="4" spans="1:28" x14ac:dyDescent="0.25">
      <c r="A4" s="4" t="s">
        <v>13</v>
      </c>
      <c r="B4" s="4"/>
      <c r="C4" s="4"/>
      <c r="D4" s="4"/>
      <c r="E4" s="4"/>
      <c r="F4" s="4"/>
      <c r="G4" s="4"/>
      <c r="H4" s="4"/>
      <c r="I4" s="4"/>
      <c r="J4" s="4"/>
      <c r="K4" s="4"/>
      <c r="L4" s="4"/>
      <c r="M4" s="4"/>
      <c r="N4" s="4"/>
      <c r="O4" s="4"/>
      <c r="P4" s="4" t="s">
        <v>13</v>
      </c>
      <c r="Q4" s="63"/>
      <c r="R4" s="63"/>
      <c r="S4" s="63"/>
      <c r="T4" s="63"/>
      <c r="U4" s="63"/>
      <c r="V4" s="63"/>
      <c r="W4" s="63"/>
      <c r="X4" s="63"/>
      <c r="Y4" s="63"/>
      <c r="Z4" s="63"/>
      <c r="AA4" s="63"/>
      <c r="AB4" s="63"/>
    </row>
    <row r="5" spans="1:28" x14ac:dyDescent="0.25">
      <c r="A5" s="4" t="s">
        <v>14</v>
      </c>
      <c r="B5" s="4"/>
      <c r="C5" s="4"/>
      <c r="D5" s="4"/>
      <c r="E5" s="4"/>
      <c r="F5" s="4"/>
      <c r="G5" s="4"/>
      <c r="H5" s="4"/>
      <c r="I5" s="4"/>
      <c r="J5" s="4"/>
      <c r="K5" s="4"/>
      <c r="L5" s="4"/>
      <c r="M5" s="4"/>
      <c r="N5" s="4"/>
      <c r="O5" s="4"/>
      <c r="P5" s="4" t="s">
        <v>14</v>
      </c>
      <c r="Q5" s="63"/>
      <c r="R5" s="63"/>
      <c r="S5" s="63"/>
      <c r="T5" s="63"/>
      <c r="U5" s="63"/>
      <c r="V5" s="63"/>
      <c r="W5" s="63"/>
      <c r="X5" s="63"/>
      <c r="Y5" s="63"/>
      <c r="Z5" s="63"/>
      <c r="AA5" s="63"/>
      <c r="AB5" s="63"/>
    </row>
    <row r="6" spans="1:28" x14ac:dyDescent="0.25">
      <c r="A6" s="4" t="s">
        <v>15</v>
      </c>
      <c r="B6" s="4"/>
      <c r="C6" s="4"/>
      <c r="D6" s="4"/>
      <c r="E6" s="4"/>
      <c r="F6" s="4"/>
      <c r="G6" s="4"/>
      <c r="H6" s="4"/>
      <c r="I6" s="4"/>
      <c r="J6" s="4"/>
      <c r="K6" s="4"/>
      <c r="L6" s="4"/>
      <c r="M6" s="4"/>
      <c r="N6" s="4"/>
      <c r="O6" s="4"/>
      <c r="P6" s="4" t="s">
        <v>15</v>
      </c>
      <c r="Q6" s="63"/>
      <c r="R6" s="63"/>
      <c r="S6" s="63"/>
      <c r="T6" s="63"/>
      <c r="U6" s="63"/>
      <c r="V6" s="63"/>
      <c r="W6" s="63"/>
      <c r="X6" s="63"/>
      <c r="Y6" s="63"/>
      <c r="Z6" s="63"/>
      <c r="AA6" s="63"/>
      <c r="AB6" s="63"/>
    </row>
    <row r="7" spans="1:28" x14ac:dyDescent="0.25">
      <c r="A7" s="4" t="s">
        <v>16</v>
      </c>
      <c r="B7" s="4"/>
      <c r="C7" s="4"/>
      <c r="D7" s="4"/>
      <c r="E7" s="4"/>
      <c r="F7" s="4"/>
      <c r="G7" s="4"/>
      <c r="H7" s="4"/>
      <c r="I7" s="4"/>
      <c r="J7" s="4"/>
      <c r="K7" s="4"/>
      <c r="L7" s="4"/>
      <c r="M7" s="4"/>
      <c r="N7" s="4"/>
      <c r="O7" s="4"/>
      <c r="P7" s="4" t="s">
        <v>16</v>
      </c>
      <c r="Q7" s="63"/>
      <c r="R7" s="63"/>
      <c r="S7" s="63"/>
      <c r="T7" s="63"/>
      <c r="U7" s="63"/>
      <c r="V7" s="63"/>
      <c r="W7" s="63"/>
      <c r="X7" s="63"/>
      <c r="Y7" s="63"/>
      <c r="Z7" s="63"/>
      <c r="AA7" s="63"/>
      <c r="AB7" s="63"/>
    </row>
    <row r="8" spans="1:28" x14ac:dyDescent="0.25">
      <c r="A8" s="4" t="s">
        <v>17</v>
      </c>
      <c r="B8" s="4"/>
      <c r="C8" s="4"/>
      <c r="D8" s="4"/>
      <c r="E8" s="4"/>
      <c r="F8" s="4"/>
      <c r="G8" s="4"/>
      <c r="H8" s="4"/>
      <c r="I8" s="4"/>
      <c r="J8" s="4"/>
      <c r="K8" s="4"/>
      <c r="L8" s="4"/>
      <c r="M8" s="4"/>
      <c r="N8" s="4"/>
      <c r="O8" s="4"/>
      <c r="P8" s="4" t="s">
        <v>17</v>
      </c>
      <c r="Q8" s="63"/>
      <c r="R8" s="63"/>
      <c r="S8" s="63"/>
      <c r="T8" s="63"/>
      <c r="U8" s="63"/>
      <c r="V8" s="63"/>
      <c r="W8" s="63"/>
      <c r="X8" s="63"/>
      <c r="Y8" s="63"/>
      <c r="Z8" s="63"/>
      <c r="AA8" s="63"/>
      <c r="AB8" s="63"/>
    </row>
    <row r="9" spans="1:28" x14ac:dyDescent="0.25">
      <c r="A9" s="4" t="s">
        <v>18</v>
      </c>
      <c r="B9" s="4"/>
      <c r="C9" s="4"/>
      <c r="D9" s="4"/>
      <c r="E9" s="4"/>
      <c r="F9" s="4"/>
      <c r="G9" s="4"/>
      <c r="H9" s="4"/>
      <c r="I9" s="4"/>
      <c r="J9" s="4"/>
      <c r="K9" s="4"/>
      <c r="L9" s="4"/>
      <c r="M9" s="4"/>
      <c r="N9" s="4"/>
      <c r="O9" s="4"/>
      <c r="P9" s="4" t="s">
        <v>18</v>
      </c>
      <c r="Q9" s="63"/>
      <c r="R9" s="63"/>
      <c r="S9" s="63"/>
      <c r="T9" s="63"/>
      <c r="U9" s="63"/>
      <c r="V9" s="63"/>
      <c r="W9" s="63"/>
      <c r="X9" s="63"/>
      <c r="Y9" s="63"/>
      <c r="Z9" s="63"/>
      <c r="AA9" s="63"/>
      <c r="AB9" s="63"/>
    </row>
    <row r="10" spans="1:28" x14ac:dyDescent="0.25">
      <c r="A10" s="4" t="s">
        <v>19</v>
      </c>
      <c r="B10" s="4"/>
      <c r="C10" s="4"/>
      <c r="D10" s="4"/>
      <c r="E10" s="4">
        <v>1</v>
      </c>
      <c r="F10" s="4">
        <v>1</v>
      </c>
      <c r="G10" s="4">
        <v>1</v>
      </c>
      <c r="H10" s="4">
        <v>1</v>
      </c>
      <c r="I10" s="4">
        <v>1</v>
      </c>
      <c r="J10" s="4"/>
      <c r="K10" s="4"/>
      <c r="L10" s="4"/>
      <c r="M10" s="4"/>
      <c r="N10" s="4"/>
      <c r="O10" s="4"/>
      <c r="P10" s="4" t="s">
        <v>19</v>
      </c>
      <c r="Q10" s="63"/>
      <c r="R10" s="63"/>
      <c r="S10" s="63"/>
      <c r="T10" s="63">
        <v>1</v>
      </c>
      <c r="U10" s="63">
        <v>1</v>
      </c>
      <c r="V10" s="63">
        <v>1</v>
      </c>
      <c r="W10" s="63">
        <v>1</v>
      </c>
      <c r="X10" s="63">
        <v>1</v>
      </c>
      <c r="Y10" s="63"/>
      <c r="Z10" s="63"/>
      <c r="AA10" s="63"/>
      <c r="AB10" s="63"/>
    </row>
    <row r="11" spans="1:28" x14ac:dyDescent="0.25">
      <c r="A11" s="4" t="s">
        <v>20</v>
      </c>
      <c r="B11" s="4">
        <v>1</v>
      </c>
      <c r="C11" s="4">
        <v>1</v>
      </c>
      <c r="D11" s="4">
        <v>1</v>
      </c>
      <c r="E11" s="4">
        <v>1</v>
      </c>
      <c r="F11" s="4">
        <v>1</v>
      </c>
      <c r="G11" s="4">
        <v>1</v>
      </c>
      <c r="H11" s="4">
        <v>1</v>
      </c>
      <c r="I11" s="4">
        <v>1</v>
      </c>
      <c r="J11" s="4">
        <v>1</v>
      </c>
      <c r="K11" s="4">
        <v>1</v>
      </c>
      <c r="L11" s="4">
        <v>1</v>
      </c>
      <c r="M11" s="4">
        <v>1</v>
      </c>
      <c r="N11" s="4"/>
      <c r="O11" s="4"/>
      <c r="P11" s="4" t="s">
        <v>20</v>
      </c>
      <c r="Q11" s="63">
        <v>1</v>
      </c>
      <c r="R11" s="63">
        <v>1</v>
      </c>
      <c r="S11" s="63">
        <v>1</v>
      </c>
      <c r="T11" s="63">
        <v>1</v>
      </c>
      <c r="U11" s="63">
        <v>1</v>
      </c>
      <c r="V11" s="63">
        <v>1</v>
      </c>
      <c r="W11" s="63">
        <v>1</v>
      </c>
      <c r="X11" s="63">
        <v>1</v>
      </c>
      <c r="Y11" s="63">
        <v>1</v>
      </c>
      <c r="Z11" s="63">
        <v>1</v>
      </c>
      <c r="AA11" s="63">
        <v>1</v>
      </c>
      <c r="AB11" s="63">
        <v>1</v>
      </c>
    </row>
    <row r="12" spans="1:28" x14ac:dyDescent="0.25">
      <c r="A12" s="4" t="s">
        <v>21</v>
      </c>
      <c r="B12" s="4">
        <v>1</v>
      </c>
      <c r="C12" s="4">
        <v>1</v>
      </c>
      <c r="D12" s="4">
        <v>1</v>
      </c>
      <c r="E12" s="4">
        <v>1</v>
      </c>
      <c r="F12" s="4">
        <v>1</v>
      </c>
      <c r="G12" s="4">
        <v>1</v>
      </c>
      <c r="H12" s="4">
        <v>1</v>
      </c>
      <c r="I12" s="4">
        <v>1</v>
      </c>
      <c r="J12" s="4">
        <v>1</v>
      </c>
      <c r="K12" s="4">
        <v>1</v>
      </c>
      <c r="L12" s="4">
        <v>1</v>
      </c>
      <c r="M12" s="4">
        <v>1</v>
      </c>
      <c r="N12" s="4"/>
      <c r="O12" s="4"/>
      <c r="P12" s="4" t="s">
        <v>21</v>
      </c>
      <c r="Q12" s="63">
        <v>1</v>
      </c>
      <c r="R12" s="63">
        <v>1</v>
      </c>
      <c r="S12" s="63">
        <v>1</v>
      </c>
      <c r="T12" s="63">
        <v>1</v>
      </c>
      <c r="U12" s="63">
        <v>1</v>
      </c>
      <c r="V12" s="63">
        <v>1</v>
      </c>
      <c r="W12" s="63">
        <v>1</v>
      </c>
      <c r="X12" s="63">
        <v>1</v>
      </c>
      <c r="Y12" s="63">
        <v>1</v>
      </c>
      <c r="Z12" s="63">
        <v>1</v>
      </c>
      <c r="AA12" s="63">
        <v>1</v>
      </c>
      <c r="AB12" s="63">
        <v>1</v>
      </c>
    </row>
    <row r="13" spans="1:28" x14ac:dyDescent="0.25">
      <c r="A13" s="4" t="s">
        <v>22</v>
      </c>
      <c r="B13" s="4">
        <v>1</v>
      </c>
      <c r="C13" s="4">
        <v>1</v>
      </c>
      <c r="D13" s="4">
        <v>1</v>
      </c>
      <c r="E13" s="4">
        <v>1</v>
      </c>
      <c r="F13" s="4">
        <v>1</v>
      </c>
      <c r="G13" s="4">
        <v>1</v>
      </c>
      <c r="H13" s="4">
        <v>1</v>
      </c>
      <c r="I13" s="4">
        <v>1</v>
      </c>
      <c r="J13" s="4">
        <v>1</v>
      </c>
      <c r="K13" s="4">
        <v>1</v>
      </c>
      <c r="L13" s="4">
        <v>1</v>
      </c>
      <c r="M13" s="4">
        <v>1</v>
      </c>
      <c r="N13" s="4"/>
      <c r="O13" s="4"/>
      <c r="P13" s="4" t="s">
        <v>22</v>
      </c>
      <c r="Q13" s="63">
        <v>1</v>
      </c>
      <c r="R13" s="63">
        <v>1</v>
      </c>
      <c r="S13" s="63">
        <v>1</v>
      </c>
      <c r="T13" s="63">
        <v>1</v>
      </c>
      <c r="U13" s="63">
        <v>1</v>
      </c>
      <c r="V13" s="63">
        <v>1</v>
      </c>
      <c r="W13" s="63">
        <v>1</v>
      </c>
      <c r="X13" s="63">
        <v>1</v>
      </c>
      <c r="Y13" s="63">
        <v>1</v>
      </c>
      <c r="Z13" s="63">
        <v>1</v>
      </c>
      <c r="AA13" s="63">
        <v>1</v>
      </c>
      <c r="AB13" s="63">
        <v>1</v>
      </c>
    </row>
    <row r="14" spans="1:28" x14ac:dyDescent="0.25">
      <c r="A14" s="4" t="s">
        <v>23</v>
      </c>
      <c r="B14" s="4">
        <v>1</v>
      </c>
      <c r="C14" s="4">
        <v>1</v>
      </c>
      <c r="D14" s="4">
        <v>1</v>
      </c>
      <c r="E14" s="4">
        <v>1</v>
      </c>
      <c r="F14" s="4">
        <v>1</v>
      </c>
      <c r="G14" s="4">
        <v>1</v>
      </c>
      <c r="H14" s="4">
        <v>1</v>
      </c>
      <c r="I14" s="4">
        <v>1</v>
      </c>
      <c r="J14" s="4">
        <v>1</v>
      </c>
      <c r="K14" s="4">
        <v>1</v>
      </c>
      <c r="L14" s="4">
        <v>1</v>
      </c>
      <c r="M14" s="4">
        <v>1</v>
      </c>
      <c r="N14" s="4"/>
      <c r="O14" s="4"/>
      <c r="P14" s="4" t="s">
        <v>23</v>
      </c>
      <c r="Q14" s="63">
        <v>1</v>
      </c>
      <c r="R14" s="63">
        <v>1</v>
      </c>
      <c r="S14" s="63">
        <v>1</v>
      </c>
      <c r="T14" s="63">
        <v>1</v>
      </c>
      <c r="U14" s="63">
        <v>1</v>
      </c>
      <c r="V14" s="63">
        <v>1</v>
      </c>
      <c r="W14" s="63">
        <v>1</v>
      </c>
      <c r="X14" s="63">
        <v>1</v>
      </c>
      <c r="Y14" s="63">
        <v>1</v>
      </c>
      <c r="Z14" s="63">
        <v>1</v>
      </c>
      <c r="AA14" s="63">
        <v>1</v>
      </c>
      <c r="AB14" s="63">
        <v>1</v>
      </c>
    </row>
    <row r="15" spans="1:28" x14ac:dyDescent="0.25">
      <c r="A15" s="4" t="s">
        <v>24</v>
      </c>
      <c r="B15" s="4">
        <v>1</v>
      </c>
      <c r="C15" s="4">
        <v>1</v>
      </c>
      <c r="D15" s="4">
        <v>1</v>
      </c>
      <c r="E15" s="4">
        <v>1</v>
      </c>
      <c r="F15" s="4">
        <v>1</v>
      </c>
      <c r="G15" s="4">
        <v>1</v>
      </c>
      <c r="H15" s="4">
        <v>1</v>
      </c>
      <c r="I15" s="4">
        <v>1</v>
      </c>
      <c r="J15" s="4">
        <v>1</v>
      </c>
      <c r="K15" s="4">
        <v>1</v>
      </c>
      <c r="L15" s="4">
        <v>1</v>
      </c>
      <c r="M15" s="4">
        <v>1</v>
      </c>
      <c r="N15" s="4"/>
      <c r="O15" s="4"/>
      <c r="P15" s="4" t="s">
        <v>24</v>
      </c>
      <c r="Q15" s="63">
        <v>1</v>
      </c>
      <c r="R15" s="63">
        <v>1</v>
      </c>
      <c r="S15" s="63">
        <v>1</v>
      </c>
      <c r="T15" s="63">
        <v>1</v>
      </c>
      <c r="U15" s="63">
        <v>1</v>
      </c>
      <c r="V15" s="63">
        <v>1</v>
      </c>
      <c r="W15" s="63">
        <v>1</v>
      </c>
      <c r="X15" s="63">
        <v>1</v>
      </c>
      <c r="Y15" s="63">
        <v>1</v>
      </c>
      <c r="Z15" s="63">
        <v>1</v>
      </c>
      <c r="AA15" s="63">
        <v>1</v>
      </c>
      <c r="AB15" s="63">
        <v>1</v>
      </c>
    </row>
    <row r="16" spans="1:28" x14ac:dyDescent="0.25">
      <c r="A16" s="4" t="s">
        <v>25</v>
      </c>
      <c r="B16" s="4">
        <v>1</v>
      </c>
      <c r="C16" s="4">
        <v>1</v>
      </c>
      <c r="D16" s="4">
        <v>1</v>
      </c>
      <c r="E16" s="4">
        <v>1</v>
      </c>
      <c r="F16" s="4">
        <v>1</v>
      </c>
      <c r="G16" s="4">
        <v>1</v>
      </c>
      <c r="H16" s="4">
        <v>1</v>
      </c>
      <c r="I16" s="4">
        <v>1</v>
      </c>
      <c r="J16" s="4">
        <v>1</v>
      </c>
      <c r="K16" s="4">
        <v>1</v>
      </c>
      <c r="L16" s="4">
        <v>1</v>
      </c>
      <c r="M16" s="4">
        <v>1</v>
      </c>
      <c r="N16" s="4"/>
      <c r="O16" s="4"/>
      <c r="P16" s="4" t="s">
        <v>25</v>
      </c>
      <c r="Q16" s="63">
        <v>1</v>
      </c>
      <c r="R16" s="63">
        <v>1</v>
      </c>
      <c r="S16" s="63">
        <v>1</v>
      </c>
      <c r="T16" s="63">
        <v>1</v>
      </c>
      <c r="U16" s="63">
        <v>1</v>
      </c>
      <c r="V16" s="63">
        <v>1</v>
      </c>
      <c r="W16" s="63">
        <v>1</v>
      </c>
      <c r="X16" s="63">
        <v>1</v>
      </c>
      <c r="Y16" s="63">
        <v>1</v>
      </c>
      <c r="Z16" s="63">
        <v>1</v>
      </c>
      <c r="AA16" s="63">
        <v>1</v>
      </c>
      <c r="AB16" s="63">
        <v>1</v>
      </c>
    </row>
    <row r="17" spans="1:28" x14ac:dyDescent="0.25">
      <c r="A17" s="4" t="s">
        <v>26</v>
      </c>
      <c r="B17" s="4">
        <v>1</v>
      </c>
      <c r="C17" s="4">
        <v>1</v>
      </c>
      <c r="D17" s="4">
        <v>1</v>
      </c>
      <c r="E17" s="4">
        <v>1</v>
      </c>
      <c r="F17" s="4">
        <v>1</v>
      </c>
      <c r="G17" s="4">
        <v>1</v>
      </c>
      <c r="H17" s="4">
        <v>1</v>
      </c>
      <c r="I17" s="4">
        <v>1</v>
      </c>
      <c r="J17" s="4">
        <v>1</v>
      </c>
      <c r="K17" s="4">
        <v>1</v>
      </c>
      <c r="L17" s="4">
        <v>1</v>
      </c>
      <c r="M17" s="4">
        <v>1</v>
      </c>
      <c r="N17" s="4"/>
      <c r="O17" s="4"/>
      <c r="P17" s="4" t="s">
        <v>26</v>
      </c>
      <c r="Q17" s="63">
        <v>1</v>
      </c>
      <c r="R17" s="63">
        <v>1</v>
      </c>
      <c r="S17" s="63">
        <v>1</v>
      </c>
      <c r="T17" s="63">
        <v>1</v>
      </c>
      <c r="U17" s="63">
        <v>1</v>
      </c>
      <c r="V17" s="63">
        <v>1</v>
      </c>
      <c r="W17" s="63">
        <v>1</v>
      </c>
      <c r="X17" s="63">
        <v>1</v>
      </c>
      <c r="Y17" s="63">
        <v>1</v>
      </c>
      <c r="Z17" s="63">
        <v>1</v>
      </c>
      <c r="AA17" s="63">
        <v>1</v>
      </c>
      <c r="AB17" s="63">
        <v>1</v>
      </c>
    </row>
    <row r="18" spans="1:28" x14ac:dyDescent="0.25">
      <c r="A18" s="4" t="s">
        <v>27</v>
      </c>
      <c r="B18" s="4">
        <v>1</v>
      </c>
      <c r="C18" s="4">
        <v>1</v>
      </c>
      <c r="D18" s="4">
        <v>1</v>
      </c>
      <c r="E18" s="4">
        <v>1</v>
      </c>
      <c r="F18" s="4">
        <v>1</v>
      </c>
      <c r="G18" s="4">
        <v>1</v>
      </c>
      <c r="H18" s="4">
        <v>1</v>
      </c>
      <c r="I18" s="4">
        <v>1</v>
      </c>
      <c r="J18" s="4">
        <v>1</v>
      </c>
      <c r="K18" s="4">
        <v>1</v>
      </c>
      <c r="L18" s="4">
        <v>1</v>
      </c>
      <c r="M18" s="4">
        <v>1</v>
      </c>
      <c r="N18" s="4"/>
      <c r="O18" s="4"/>
      <c r="P18" s="4" t="s">
        <v>27</v>
      </c>
      <c r="Q18" s="63">
        <v>1</v>
      </c>
      <c r="R18" s="63">
        <v>1</v>
      </c>
      <c r="S18" s="63">
        <v>1</v>
      </c>
      <c r="T18" s="63">
        <v>1</v>
      </c>
      <c r="U18" s="63">
        <v>1</v>
      </c>
      <c r="V18" s="63">
        <v>1</v>
      </c>
      <c r="W18" s="63">
        <v>1</v>
      </c>
      <c r="X18" s="63">
        <v>1</v>
      </c>
      <c r="Y18" s="63">
        <v>1</v>
      </c>
      <c r="Z18" s="63">
        <v>1</v>
      </c>
      <c r="AA18" s="63">
        <v>1</v>
      </c>
      <c r="AB18" s="63">
        <v>1</v>
      </c>
    </row>
    <row r="19" spans="1:28" x14ac:dyDescent="0.25">
      <c r="A19" s="4" t="s">
        <v>28</v>
      </c>
      <c r="B19" s="4">
        <v>1</v>
      </c>
      <c r="C19" s="4">
        <v>1</v>
      </c>
      <c r="D19" s="4">
        <v>1</v>
      </c>
      <c r="E19" s="4">
        <v>1</v>
      </c>
      <c r="F19" s="4">
        <v>1</v>
      </c>
      <c r="G19" s="4">
        <v>1</v>
      </c>
      <c r="H19" s="4">
        <v>1</v>
      </c>
      <c r="I19" s="4">
        <v>1</v>
      </c>
      <c r="J19" s="4">
        <v>1</v>
      </c>
      <c r="K19" s="4">
        <v>1</v>
      </c>
      <c r="L19" s="4">
        <v>1</v>
      </c>
      <c r="M19" s="4">
        <v>1</v>
      </c>
      <c r="N19" s="4"/>
      <c r="O19" s="4"/>
      <c r="P19" s="4" t="s">
        <v>28</v>
      </c>
      <c r="Q19" s="63">
        <v>1</v>
      </c>
      <c r="R19" s="63">
        <v>1</v>
      </c>
      <c r="S19" s="63">
        <v>1</v>
      </c>
      <c r="T19" s="63">
        <v>1</v>
      </c>
      <c r="U19" s="63">
        <v>1</v>
      </c>
      <c r="V19" s="63">
        <v>1</v>
      </c>
      <c r="W19" s="63">
        <v>1</v>
      </c>
      <c r="X19" s="63">
        <v>1</v>
      </c>
      <c r="Y19" s="63">
        <v>1</v>
      </c>
      <c r="Z19" s="63">
        <v>1</v>
      </c>
      <c r="AA19" s="63">
        <v>1</v>
      </c>
      <c r="AB19" s="63">
        <v>1</v>
      </c>
    </row>
    <row r="20" spans="1:28" x14ac:dyDescent="0.25">
      <c r="A20" s="4" t="s">
        <v>29</v>
      </c>
      <c r="B20" s="4">
        <v>1</v>
      </c>
      <c r="C20" s="4">
        <v>1</v>
      </c>
      <c r="D20" s="4">
        <v>1</v>
      </c>
      <c r="E20" s="4">
        <v>1</v>
      </c>
      <c r="F20" s="4">
        <v>1</v>
      </c>
      <c r="G20" s="4">
        <v>1</v>
      </c>
      <c r="H20" s="4">
        <v>1</v>
      </c>
      <c r="I20" s="4">
        <v>1</v>
      </c>
      <c r="J20" s="4">
        <v>1</v>
      </c>
      <c r="K20" s="4">
        <v>1</v>
      </c>
      <c r="L20" s="4">
        <v>1</v>
      </c>
      <c r="M20" s="4">
        <v>1</v>
      </c>
      <c r="N20" s="4"/>
      <c r="O20" s="4"/>
      <c r="P20" s="4" t="s">
        <v>29</v>
      </c>
      <c r="Q20" s="63">
        <v>1</v>
      </c>
      <c r="R20" s="63">
        <v>1</v>
      </c>
      <c r="S20" s="63">
        <v>1</v>
      </c>
      <c r="T20" s="63">
        <v>1</v>
      </c>
      <c r="U20" s="63">
        <v>1</v>
      </c>
      <c r="V20" s="63">
        <v>1</v>
      </c>
      <c r="W20" s="63">
        <v>1</v>
      </c>
      <c r="X20" s="63">
        <v>1</v>
      </c>
      <c r="Y20" s="63">
        <v>1</v>
      </c>
      <c r="Z20" s="63">
        <v>1</v>
      </c>
      <c r="AA20" s="63">
        <v>1</v>
      </c>
      <c r="AB20" s="63">
        <v>1</v>
      </c>
    </row>
    <row r="21" spans="1:28" x14ac:dyDescent="0.25">
      <c r="A21" s="4" t="s">
        <v>30</v>
      </c>
      <c r="B21" s="4">
        <v>1</v>
      </c>
      <c r="C21" s="4">
        <v>1</v>
      </c>
      <c r="D21" s="4">
        <v>1</v>
      </c>
      <c r="E21" s="4">
        <v>1</v>
      </c>
      <c r="F21" s="4">
        <v>1</v>
      </c>
      <c r="G21" s="4">
        <v>1</v>
      </c>
      <c r="H21" s="4">
        <v>1</v>
      </c>
      <c r="I21" s="4">
        <v>1</v>
      </c>
      <c r="J21" s="4">
        <v>1</v>
      </c>
      <c r="K21" s="4">
        <v>1</v>
      </c>
      <c r="L21" s="4">
        <v>1</v>
      </c>
      <c r="M21" s="4">
        <v>1</v>
      </c>
      <c r="N21" s="4"/>
      <c r="O21" s="4"/>
      <c r="P21" s="4" t="s">
        <v>30</v>
      </c>
      <c r="Q21" s="63">
        <v>7.0222596963507897E-2</v>
      </c>
      <c r="R21" s="63">
        <v>0.21845004599846637</v>
      </c>
      <c r="S21" s="63">
        <v>1</v>
      </c>
      <c r="T21" s="63">
        <v>1</v>
      </c>
      <c r="U21" s="63">
        <v>1</v>
      </c>
      <c r="V21" s="63">
        <v>1</v>
      </c>
      <c r="W21" s="63">
        <v>1</v>
      </c>
      <c r="X21" s="63">
        <v>1</v>
      </c>
      <c r="Y21" s="63">
        <v>1</v>
      </c>
      <c r="Z21" s="63">
        <v>1</v>
      </c>
      <c r="AA21" s="63">
        <v>1</v>
      </c>
      <c r="AB21" s="63">
        <v>1</v>
      </c>
    </row>
    <row r="22" spans="1:28" x14ac:dyDescent="0.25">
      <c r="A22" s="4" t="s">
        <v>31</v>
      </c>
      <c r="B22" s="4"/>
      <c r="C22" s="4"/>
      <c r="D22" s="4"/>
      <c r="E22" s="4">
        <v>1</v>
      </c>
      <c r="F22" s="4">
        <v>1</v>
      </c>
      <c r="G22" s="4">
        <v>1</v>
      </c>
      <c r="H22" s="4">
        <v>1</v>
      </c>
      <c r="I22" s="4">
        <v>1</v>
      </c>
      <c r="J22" s="4"/>
      <c r="K22" s="4"/>
      <c r="L22" s="4"/>
      <c r="M22" s="4"/>
      <c r="N22" s="4"/>
      <c r="O22" s="4"/>
      <c r="P22" s="4" t="s">
        <v>31</v>
      </c>
      <c r="Q22" s="63"/>
      <c r="R22" s="63"/>
      <c r="S22" s="63"/>
      <c r="T22" s="63">
        <v>0</v>
      </c>
      <c r="U22" s="63">
        <v>1</v>
      </c>
      <c r="V22" s="63">
        <v>1</v>
      </c>
      <c r="W22" s="63">
        <v>1</v>
      </c>
      <c r="X22" s="63">
        <v>1</v>
      </c>
      <c r="Y22" s="63"/>
      <c r="Z22" s="63"/>
      <c r="AA22" s="63"/>
      <c r="AB22" s="63"/>
    </row>
    <row r="23" spans="1:28" x14ac:dyDescent="0.25">
      <c r="A23" s="4" t="s">
        <v>32</v>
      </c>
      <c r="B23" s="4"/>
      <c r="C23" s="4"/>
      <c r="D23" s="4"/>
      <c r="E23" s="4"/>
      <c r="F23" s="4"/>
      <c r="G23" s="4"/>
      <c r="H23" s="4"/>
      <c r="I23" s="4"/>
      <c r="J23" s="4"/>
      <c r="K23" s="4"/>
      <c r="L23" s="4"/>
      <c r="M23" s="4"/>
      <c r="N23" s="4"/>
      <c r="O23" s="4"/>
      <c r="P23" s="4" t="s">
        <v>32</v>
      </c>
      <c r="Q23" s="63"/>
      <c r="R23" s="63"/>
      <c r="S23" s="63"/>
      <c r="T23" s="63"/>
      <c r="U23" s="63"/>
      <c r="V23" s="63"/>
      <c r="W23" s="63"/>
      <c r="X23" s="63"/>
      <c r="Y23" s="63"/>
      <c r="Z23" s="63"/>
      <c r="AA23" s="63"/>
      <c r="AB23" s="63"/>
    </row>
    <row r="24" spans="1:28" x14ac:dyDescent="0.25">
      <c r="A24" s="4" t="s">
        <v>33</v>
      </c>
      <c r="B24" s="4"/>
      <c r="C24" s="4"/>
      <c r="D24" s="4"/>
      <c r="E24" s="4"/>
      <c r="F24" s="4"/>
      <c r="G24" s="4"/>
      <c r="H24" s="4"/>
      <c r="I24" s="4"/>
      <c r="J24" s="4"/>
      <c r="K24" s="4"/>
      <c r="L24" s="4"/>
      <c r="M24" s="4"/>
      <c r="N24" s="4"/>
      <c r="O24" s="4"/>
      <c r="P24" s="4" t="s">
        <v>33</v>
      </c>
      <c r="Q24" s="63"/>
      <c r="R24" s="63"/>
      <c r="S24" s="63"/>
      <c r="T24" s="63"/>
      <c r="U24" s="63"/>
      <c r="V24" s="63"/>
      <c r="W24" s="63"/>
      <c r="X24" s="63"/>
      <c r="Y24" s="63"/>
      <c r="Z24" s="63"/>
      <c r="AA24" s="63"/>
      <c r="AB24" s="63"/>
    </row>
    <row r="25" spans="1:28" x14ac:dyDescent="0.25">
      <c r="A25" s="4" t="s">
        <v>34</v>
      </c>
      <c r="B25" s="4"/>
      <c r="C25" s="4"/>
      <c r="D25" s="4"/>
      <c r="E25" s="4"/>
      <c r="F25" s="4"/>
      <c r="G25" s="4"/>
      <c r="H25" s="4"/>
      <c r="I25" s="4"/>
      <c r="J25" s="4"/>
      <c r="K25" s="4"/>
      <c r="L25" s="4"/>
      <c r="M25" s="4"/>
      <c r="N25" s="4"/>
      <c r="O25" s="4"/>
      <c r="P25" s="4" t="s">
        <v>34</v>
      </c>
      <c r="Q25" s="63"/>
      <c r="R25" s="63"/>
      <c r="S25" s="63"/>
      <c r="T25" s="63"/>
      <c r="U25" s="63"/>
      <c r="V25" s="63"/>
      <c r="W25" s="63"/>
      <c r="X25" s="63"/>
      <c r="Y25" s="63"/>
      <c r="Z25" s="63"/>
      <c r="AA25" s="63"/>
      <c r="AB25" s="63"/>
    </row>
    <row r="26" spans="1:28" x14ac:dyDescent="0.25">
      <c r="A26" s="4" t="s">
        <v>35</v>
      </c>
      <c r="B26" s="4"/>
      <c r="C26" s="4"/>
      <c r="D26" s="4"/>
      <c r="E26" s="4"/>
      <c r="F26" s="4"/>
      <c r="G26" s="4"/>
      <c r="H26" s="4"/>
      <c r="I26" s="4"/>
      <c r="J26" s="4"/>
      <c r="K26" s="4"/>
      <c r="L26" s="4"/>
      <c r="M26" s="4"/>
      <c r="N26" s="4"/>
      <c r="O26" s="4"/>
      <c r="P26" s="4" t="s">
        <v>35</v>
      </c>
      <c r="Q26" s="63"/>
      <c r="R26" s="63"/>
      <c r="S26" s="63"/>
      <c r="T26" s="63"/>
      <c r="U26" s="63"/>
      <c r="V26" s="63"/>
      <c r="W26" s="63"/>
      <c r="X26" s="63"/>
      <c r="Y26" s="63"/>
      <c r="Z26" s="63"/>
      <c r="AA26" s="63"/>
      <c r="AB26" s="63"/>
    </row>
    <row r="27" spans="1:28" x14ac:dyDescent="0.25">
      <c r="A27" s="4" t="s">
        <v>36</v>
      </c>
      <c r="B27" s="4"/>
      <c r="C27" s="4"/>
      <c r="D27" s="4"/>
      <c r="E27" s="4"/>
      <c r="F27" s="4"/>
      <c r="G27" s="4"/>
      <c r="H27" s="4"/>
      <c r="I27" s="4"/>
      <c r="J27" s="4"/>
      <c r="K27" s="4"/>
      <c r="L27" s="4"/>
      <c r="M27" s="4"/>
      <c r="N27" s="4"/>
      <c r="O27" s="4"/>
      <c r="P27" s="4" t="s">
        <v>36</v>
      </c>
      <c r="Q27" s="63"/>
      <c r="R27" s="63"/>
      <c r="S27" s="63"/>
      <c r="T27" s="63"/>
      <c r="U27" s="63"/>
      <c r="V27" s="63"/>
      <c r="W27" s="63"/>
      <c r="X27" s="63"/>
      <c r="Y27" s="63"/>
      <c r="Z27" s="63"/>
      <c r="AA27" s="63"/>
      <c r="AB27" s="63"/>
    </row>
    <row r="28" spans="1:28" x14ac:dyDescent="0.2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row>
    <row r="29" spans="1:28" x14ac:dyDescent="0.2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row>
    <row r="30" spans="1:28" x14ac:dyDescent="0.25">
      <c r="A30" s="4" t="s">
        <v>104</v>
      </c>
      <c r="B30" s="4"/>
      <c r="C30" s="4"/>
      <c r="D30" s="4"/>
      <c r="E30" s="4"/>
      <c r="F30" s="4"/>
      <c r="G30" s="4"/>
      <c r="H30" s="4"/>
      <c r="I30" s="4"/>
      <c r="J30" s="4"/>
      <c r="K30" s="4"/>
      <c r="L30" s="4"/>
      <c r="M30" s="4"/>
      <c r="N30" s="4"/>
      <c r="O30" s="4"/>
      <c r="P30" s="4" t="s">
        <v>104</v>
      </c>
      <c r="Q30" s="4"/>
      <c r="R30" s="4"/>
      <c r="S30" s="4"/>
      <c r="T30" s="4"/>
      <c r="U30" s="4"/>
      <c r="V30" s="4"/>
      <c r="W30" s="4"/>
      <c r="X30" s="4"/>
      <c r="Y30" s="4"/>
      <c r="Z30" s="4"/>
      <c r="AA30" s="4"/>
      <c r="AB30" s="4"/>
    </row>
    <row r="31" spans="1:28" x14ac:dyDescent="0.25">
      <c r="A31" s="4"/>
      <c r="B31" s="4" t="s">
        <v>1</v>
      </c>
      <c r="C31" s="4" t="s">
        <v>2</v>
      </c>
      <c r="D31" s="4" t="s">
        <v>3</v>
      </c>
      <c r="E31" s="4" t="s">
        <v>4</v>
      </c>
      <c r="F31" s="4" t="s">
        <v>5</v>
      </c>
      <c r="G31" s="4" t="s">
        <v>6</v>
      </c>
      <c r="H31" s="4" t="s">
        <v>7</v>
      </c>
      <c r="I31" s="4" t="s">
        <v>8</v>
      </c>
      <c r="J31" s="4" t="s">
        <v>9</v>
      </c>
      <c r="K31" s="4" t="s">
        <v>10</v>
      </c>
      <c r="L31" s="4" t="s">
        <v>11</v>
      </c>
      <c r="M31" s="4" t="s">
        <v>12</v>
      </c>
      <c r="N31" s="4"/>
      <c r="O31" s="4"/>
      <c r="P31" s="4"/>
      <c r="Q31" s="4" t="s">
        <v>1</v>
      </c>
      <c r="R31" s="4" t="s">
        <v>2</v>
      </c>
      <c r="S31" s="4" t="s">
        <v>3</v>
      </c>
      <c r="T31" s="4" t="s">
        <v>4</v>
      </c>
      <c r="U31" s="4" t="s">
        <v>5</v>
      </c>
      <c r="V31" s="4" t="s">
        <v>6</v>
      </c>
      <c r="W31" s="4" t="s">
        <v>7</v>
      </c>
      <c r="X31" s="4" t="s">
        <v>8</v>
      </c>
      <c r="Y31" s="4" t="s">
        <v>9</v>
      </c>
      <c r="Z31" s="4" t="s">
        <v>10</v>
      </c>
      <c r="AA31" s="4" t="s">
        <v>11</v>
      </c>
      <c r="AB31" s="4" t="s">
        <v>12</v>
      </c>
    </row>
    <row r="32" spans="1:28" x14ac:dyDescent="0.25">
      <c r="A32" s="4" t="s">
        <v>13</v>
      </c>
      <c r="B32" s="4"/>
      <c r="C32" s="4"/>
      <c r="D32" s="4"/>
      <c r="E32" s="4"/>
      <c r="F32" s="4"/>
      <c r="G32" s="4"/>
      <c r="H32" s="4"/>
      <c r="I32" s="4"/>
      <c r="J32" s="4"/>
      <c r="K32" s="4"/>
      <c r="L32" s="4"/>
      <c r="M32" s="4"/>
      <c r="N32" s="4"/>
      <c r="O32" s="4"/>
      <c r="P32" s="4" t="s">
        <v>13</v>
      </c>
      <c r="Q32" s="4"/>
      <c r="R32" s="4"/>
      <c r="S32" s="4"/>
      <c r="T32" s="4"/>
      <c r="U32" s="4"/>
      <c r="V32" s="4"/>
      <c r="W32" s="4"/>
      <c r="X32" s="4"/>
      <c r="Y32" s="4"/>
      <c r="Z32" s="4"/>
      <c r="AA32" s="4"/>
      <c r="AB32" s="4"/>
    </row>
    <row r="33" spans="1:28" x14ac:dyDescent="0.25">
      <c r="A33" s="4" t="s">
        <v>14</v>
      </c>
      <c r="B33" s="4"/>
      <c r="C33" s="4"/>
      <c r="D33" s="4"/>
      <c r="E33" s="4"/>
      <c r="F33" s="4"/>
      <c r="G33" s="4"/>
      <c r="H33" s="4"/>
      <c r="I33" s="4"/>
      <c r="J33" s="4"/>
      <c r="K33" s="4"/>
      <c r="L33" s="4"/>
      <c r="M33" s="4"/>
      <c r="N33" s="4"/>
      <c r="O33" s="4"/>
      <c r="P33" s="4" t="s">
        <v>14</v>
      </c>
      <c r="Q33" s="4"/>
      <c r="R33" s="4"/>
      <c r="S33" s="4"/>
      <c r="T33" s="4"/>
      <c r="U33" s="4"/>
      <c r="V33" s="4"/>
      <c r="W33" s="4"/>
      <c r="X33" s="4"/>
      <c r="Y33" s="4"/>
      <c r="Z33" s="4"/>
      <c r="AA33" s="4"/>
      <c r="AB33" s="4"/>
    </row>
    <row r="34" spans="1:28" x14ac:dyDescent="0.25">
      <c r="A34" s="4" t="s">
        <v>15</v>
      </c>
      <c r="B34" s="4"/>
      <c r="C34" s="4"/>
      <c r="D34" s="4"/>
      <c r="E34" s="4"/>
      <c r="F34" s="4"/>
      <c r="G34" s="4"/>
      <c r="H34" s="4"/>
      <c r="I34" s="4"/>
      <c r="J34" s="4"/>
      <c r="K34" s="4"/>
      <c r="L34" s="4"/>
      <c r="M34" s="4"/>
      <c r="N34" s="4"/>
      <c r="O34" s="4"/>
      <c r="P34" s="4" t="s">
        <v>15</v>
      </c>
      <c r="Q34" s="4"/>
      <c r="R34" s="4"/>
      <c r="S34" s="4"/>
      <c r="T34" s="4"/>
      <c r="U34" s="4"/>
      <c r="V34" s="4"/>
      <c r="W34" s="4"/>
      <c r="X34" s="4"/>
      <c r="Y34" s="4"/>
      <c r="Z34" s="4"/>
      <c r="AA34" s="4"/>
      <c r="AB34" s="4"/>
    </row>
    <row r="35" spans="1:28" x14ac:dyDescent="0.25">
      <c r="A35" s="4" t="s">
        <v>16</v>
      </c>
      <c r="B35" s="4"/>
      <c r="C35" s="4"/>
      <c r="D35" s="4"/>
      <c r="E35" s="4"/>
      <c r="F35" s="4"/>
      <c r="G35" s="4"/>
      <c r="H35" s="4"/>
      <c r="I35" s="4"/>
      <c r="J35" s="4"/>
      <c r="K35" s="4"/>
      <c r="L35" s="4"/>
      <c r="M35" s="4"/>
      <c r="N35" s="4"/>
      <c r="O35" s="4"/>
      <c r="P35" s="4" t="s">
        <v>16</v>
      </c>
      <c r="Q35" s="4"/>
      <c r="R35" s="4"/>
      <c r="S35" s="4"/>
      <c r="T35" s="4"/>
      <c r="U35" s="4"/>
      <c r="V35" s="4"/>
      <c r="W35" s="4"/>
      <c r="X35" s="4"/>
      <c r="Y35" s="4"/>
      <c r="Z35" s="4"/>
      <c r="AA35" s="4"/>
      <c r="AB35" s="4"/>
    </row>
    <row r="36" spans="1:28" x14ac:dyDescent="0.25">
      <c r="A36" s="4" t="s">
        <v>17</v>
      </c>
      <c r="B36" s="4"/>
      <c r="C36" s="4"/>
      <c r="D36" s="4"/>
      <c r="E36" s="4"/>
      <c r="F36" s="4"/>
      <c r="G36" s="4"/>
      <c r="H36" s="4"/>
      <c r="I36" s="4"/>
      <c r="J36" s="4"/>
      <c r="K36" s="4"/>
      <c r="L36" s="4"/>
      <c r="M36" s="4"/>
      <c r="N36" s="4"/>
      <c r="O36" s="4"/>
      <c r="P36" s="4" t="s">
        <v>17</v>
      </c>
      <c r="Q36" s="4"/>
      <c r="R36" s="4"/>
      <c r="S36" s="4"/>
      <c r="T36" s="4"/>
      <c r="U36" s="4"/>
      <c r="V36" s="4"/>
      <c r="W36" s="4"/>
      <c r="X36" s="4"/>
      <c r="Y36" s="4"/>
      <c r="Z36" s="4"/>
      <c r="AA36" s="4"/>
      <c r="AB36" s="4"/>
    </row>
    <row r="37" spans="1:28" x14ac:dyDescent="0.25">
      <c r="A37" s="4" t="s">
        <v>18</v>
      </c>
      <c r="B37" s="4"/>
      <c r="C37" s="4"/>
      <c r="D37" s="4"/>
      <c r="E37" s="4"/>
      <c r="F37" s="4"/>
      <c r="G37" s="4"/>
      <c r="H37" s="4"/>
      <c r="I37" s="4"/>
      <c r="J37" s="4"/>
      <c r="K37" s="4"/>
      <c r="L37" s="4"/>
      <c r="M37" s="4"/>
      <c r="N37" s="4"/>
      <c r="O37" s="4"/>
      <c r="P37" s="4" t="s">
        <v>18</v>
      </c>
      <c r="Q37" s="4"/>
      <c r="R37" s="4"/>
      <c r="S37" s="4"/>
      <c r="T37" s="4"/>
      <c r="U37" s="4"/>
      <c r="V37" s="4"/>
      <c r="W37" s="4"/>
      <c r="X37" s="4"/>
      <c r="Y37" s="4"/>
      <c r="Z37" s="4"/>
      <c r="AA37" s="4"/>
      <c r="AB37" s="4"/>
    </row>
    <row r="38" spans="1:28" x14ac:dyDescent="0.25">
      <c r="A38" s="4" t="s">
        <v>19</v>
      </c>
      <c r="B38" s="4"/>
      <c r="C38" s="4"/>
      <c r="D38" s="4"/>
      <c r="E38" s="4">
        <v>0</v>
      </c>
      <c r="F38" s="4">
        <v>0</v>
      </c>
      <c r="G38" s="4">
        <v>0</v>
      </c>
      <c r="H38" s="4">
        <v>0</v>
      </c>
      <c r="I38" s="4">
        <v>0</v>
      </c>
      <c r="J38" s="4"/>
      <c r="K38" s="4"/>
      <c r="L38" s="4"/>
      <c r="M38" s="4"/>
      <c r="N38" s="4"/>
      <c r="O38" s="4"/>
      <c r="P38" s="4" t="s">
        <v>19</v>
      </c>
      <c r="Q38" s="4"/>
      <c r="R38" s="4"/>
      <c r="S38" s="4"/>
      <c r="T38" s="4">
        <v>0</v>
      </c>
      <c r="U38" s="4">
        <v>0</v>
      </c>
      <c r="V38" s="4">
        <v>0</v>
      </c>
      <c r="W38" s="4">
        <v>0</v>
      </c>
      <c r="X38" s="4">
        <v>0</v>
      </c>
      <c r="Y38" s="4"/>
      <c r="Z38" s="4"/>
      <c r="AA38" s="4"/>
      <c r="AB38" s="4"/>
    </row>
    <row r="39" spans="1:28" x14ac:dyDescent="0.25">
      <c r="A39" s="4" t="s">
        <v>20</v>
      </c>
      <c r="B39" s="4">
        <v>0</v>
      </c>
      <c r="C39" s="4">
        <v>0</v>
      </c>
      <c r="D39" s="4">
        <v>0</v>
      </c>
      <c r="E39" s="4">
        <v>0</v>
      </c>
      <c r="F39" s="4">
        <v>0</v>
      </c>
      <c r="G39" s="4">
        <v>0</v>
      </c>
      <c r="H39" s="4">
        <v>0</v>
      </c>
      <c r="I39" s="4">
        <v>0</v>
      </c>
      <c r="J39" s="4">
        <v>0</v>
      </c>
      <c r="K39" s="4">
        <v>0</v>
      </c>
      <c r="L39" s="4">
        <v>0</v>
      </c>
      <c r="M39" s="4">
        <v>0</v>
      </c>
      <c r="N39" s="4"/>
      <c r="O39" s="4"/>
      <c r="P39" s="4" t="s">
        <v>20</v>
      </c>
      <c r="Q39" s="4">
        <v>0</v>
      </c>
      <c r="R39" s="4">
        <v>0</v>
      </c>
      <c r="S39" s="4">
        <v>0</v>
      </c>
      <c r="T39" s="4">
        <v>0</v>
      </c>
      <c r="U39" s="4">
        <v>0</v>
      </c>
      <c r="V39" s="4">
        <v>0</v>
      </c>
      <c r="W39" s="4">
        <v>0</v>
      </c>
      <c r="X39" s="4">
        <v>0</v>
      </c>
      <c r="Y39" s="4">
        <v>0</v>
      </c>
      <c r="Z39" s="4">
        <v>0</v>
      </c>
      <c r="AA39" s="4">
        <v>0</v>
      </c>
      <c r="AB39" s="4">
        <v>0</v>
      </c>
    </row>
    <row r="40" spans="1:28" x14ac:dyDescent="0.25">
      <c r="A40" s="4" t="s">
        <v>21</v>
      </c>
      <c r="B40" s="4">
        <v>0</v>
      </c>
      <c r="C40" s="4">
        <v>0</v>
      </c>
      <c r="D40" s="4">
        <v>0</v>
      </c>
      <c r="E40" s="4">
        <v>0</v>
      </c>
      <c r="F40" s="4">
        <v>0</v>
      </c>
      <c r="G40" s="4">
        <v>0</v>
      </c>
      <c r="H40" s="4">
        <v>0</v>
      </c>
      <c r="I40" s="4">
        <v>0</v>
      </c>
      <c r="J40" s="4">
        <v>0</v>
      </c>
      <c r="K40" s="4">
        <v>0</v>
      </c>
      <c r="L40" s="4">
        <v>0</v>
      </c>
      <c r="M40" s="4">
        <v>0</v>
      </c>
      <c r="N40" s="4"/>
      <c r="O40" s="4"/>
      <c r="P40" s="4" t="s">
        <v>21</v>
      </c>
      <c r="Q40" s="4">
        <v>0</v>
      </c>
      <c r="R40" s="4">
        <v>0</v>
      </c>
      <c r="S40" s="4">
        <v>0</v>
      </c>
      <c r="T40" s="4">
        <v>0</v>
      </c>
      <c r="U40" s="4">
        <v>0</v>
      </c>
      <c r="V40" s="4">
        <v>0</v>
      </c>
      <c r="W40" s="4">
        <v>0</v>
      </c>
      <c r="X40" s="4">
        <v>0</v>
      </c>
      <c r="Y40" s="4">
        <v>0</v>
      </c>
      <c r="Z40" s="4">
        <v>0</v>
      </c>
      <c r="AA40" s="4">
        <v>0</v>
      </c>
      <c r="AB40" s="4">
        <v>0</v>
      </c>
    </row>
    <row r="41" spans="1:28" x14ac:dyDescent="0.25">
      <c r="A41" s="4" t="s">
        <v>22</v>
      </c>
      <c r="B41" s="4">
        <v>0</v>
      </c>
      <c r="C41" s="4">
        <v>0</v>
      </c>
      <c r="D41" s="4">
        <v>0</v>
      </c>
      <c r="E41" s="4">
        <v>0</v>
      </c>
      <c r="F41" s="4">
        <v>0</v>
      </c>
      <c r="G41" s="4">
        <v>0</v>
      </c>
      <c r="H41" s="4">
        <v>0</v>
      </c>
      <c r="I41" s="4">
        <v>0</v>
      </c>
      <c r="J41" s="4">
        <v>0</v>
      </c>
      <c r="K41" s="4">
        <v>0</v>
      </c>
      <c r="L41" s="4">
        <v>0</v>
      </c>
      <c r="M41" s="4">
        <v>0</v>
      </c>
      <c r="N41" s="4"/>
      <c r="O41" s="4"/>
      <c r="P41" s="4" t="s">
        <v>22</v>
      </c>
      <c r="Q41" s="4">
        <v>0</v>
      </c>
      <c r="R41" s="4">
        <v>0</v>
      </c>
      <c r="S41" s="4">
        <v>0</v>
      </c>
      <c r="T41" s="4">
        <v>0</v>
      </c>
      <c r="U41" s="4">
        <v>0</v>
      </c>
      <c r="V41" s="4">
        <v>0</v>
      </c>
      <c r="W41" s="4">
        <v>0</v>
      </c>
      <c r="X41" s="4">
        <v>0</v>
      </c>
      <c r="Y41" s="4">
        <v>0</v>
      </c>
      <c r="Z41" s="4">
        <v>0</v>
      </c>
      <c r="AA41" s="4">
        <v>0</v>
      </c>
      <c r="AB41" s="4">
        <v>0</v>
      </c>
    </row>
    <row r="42" spans="1:28" x14ac:dyDescent="0.25">
      <c r="A42" s="4" t="s">
        <v>23</v>
      </c>
      <c r="B42" s="4">
        <v>0</v>
      </c>
      <c r="C42" s="4">
        <v>0</v>
      </c>
      <c r="D42" s="4">
        <v>0</v>
      </c>
      <c r="E42" s="4">
        <v>0</v>
      </c>
      <c r="F42" s="4">
        <v>0</v>
      </c>
      <c r="G42" s="4">
        <v>0</v>
      </c>
      <c r="H42" s="4">
        <v>0</v>
      </c>
      <c r="I42" s="4">
        <v>0</v>
      </c>
      <c r="J42" s="4">
        <v>0</v>
      </c>
      <c r="K42" s="4">
        <v>0</v>
      </c>
      <c r="L42" s="4">
        <v>0</v>
      </c>
      <c r="M42" s="4">
        <v>0</v>
      </c>
      <c r="N42" s="4"/>
      <c r="O42" s="4"/>
      <c r="P42" s="4" t="s">
        <v>23</v>
      </c>
      <c r="Q42" s="4">
        <v>0</v>
      </c>
      <c r="R42" s="4">
        <v>0</v>
      </c>
      <c r="S42" s="4">
        <v>0</v>
      </c>
      <c r="T42" s="4">
        <v>0</v>
      </c>
      <c r="U42" s="4">
        <v>0</v>
      </c>
      <c r="V42" s="4">
        <v>0</v>
      </c>
      <c r="W42" s="4">
        <v>0</v>
      </c>
      <c r="X42" s="4">
        <v>0</v>
      </c>
      <c r="Y42" s="4">
        <v>0</v>
      </c>
      <c r="Z42" s="4">
        <v>0</v>
      </c>
      <c r="AA42" s="4">
        <v>0</v>
      </c>
      <c r="AB42" s="4">
        <v>0</v>
      </c>
    </row>
    <row r="43" spans="1:28" x14ac:dyDescent="0.25">
      <c r="A43" s="4" t="s">
        <v>24</v>
      </c>
      <c r="B43" s="4">
        <v>0</v>
      </c>
      <c r="C43" s="4">
        <v>0</v>
      </c>
      <c r="D43" s="4">
        <v>0</v>
      </c>
      <c r="E43" s="4">
        <v>0</v>
      </c>
      <c r="F43" s="4">
        <v>0</v>
      </c>
      <c r="G43" s="4">
        <v>0</v>
      </c>
      <c r="H43" s="4">
        <v>0</v>
      </c>
      <c r="I43" s="4">
        <v>0</v>
      </c>
      <c r="J43" s="4">
        <v>0</v>
      </c>
      <c r="K43" s="4">
        <v>0</v>
      </c>
      <c r="L43" s="4">
        <v>0</v>
      </c>
      <c r="M43" s="4">
        <v>0</v>
      </c>
      <c r="N43" s="4"/>
      <c r="O43" s="4"/>
      <c r="P43" s="4" t="s">
        <v>24</v>
      </c>
      <c r="Q43" s="4">
        <v>0</v>
      </c>
      <c r="R43" s="4">
        <v>0</v>
      </c>
      <c r="S43" s="4">
        <v>0</v>
      </c>
      <c r="T43" s="4">
        <v>0</v>
      </c>
      <c r="U43" s="4">
        <v>0</v>
      </c>
      <c r="V43" s="4">
        <v>0</v>
      </c>
      <c r="W43" s="4">
        <v>0</v>
      </c>
      <c r="X43" s="4">
        <v>0</v>
      </c>
      <c r="Y43" s="4">
        <v>0</v>
      </c>
      <c r="Z43" s="4">
        <v>0</v>
      </c>
      <c r="AA43" s="4">
        <v>0</v>
      </c>
      <c r="AB43" s="4">
        <v>0</v>
      </c>
    </row>
    <row r="44" spans="1:28" x14ac:dyDescent="0.25">
      <c r="A44" s="4" t="s">
        <v>25</v>
      </c>
      <c r="B44" s="4">
        <v>0</v>
      </c>
      <c r="C44" s="4">
        <v>0</v>
      </c>
      <c r="D44" s="4">
        <v>0</v>
      </c>
      <c r="E44" s="4">
        <v>0</v>
      </c>
      <c r="F44" s="4">
        <v>0</v>
      </c>
      <c r="G44" s="4">
        <v>0</v>
      </c>
      <c r="H44" s="4">
        <v>0</v>
      </c>
      <c r="I44" s="4">
        <v>0</v>
      </c>
      <c r="J44" s="4">
        <v>0</v>
      </c>
      <c r="K44" s="4">
        <v>0</v>
      </c>
      <c r="L44" s="4">
        <v>0</v>
      </c>
      <c r="M44" s="4">
        <v>0</v>
      </c>
      <c r="N44" s="4"/>
      <c r="O44" s="4"/>
      <c r="P44" s="4" t="s">
        <v>25</v>
      </c>
      <c r="Q44" s="4">
        <v>0</v>
      </c>
      <c r="R44" s="4">
        <v>0</v>
      </c>
      <c r="S44" s="4">
        <v>0</v>
      </c>
      <c r="T44" s="4">
        <v>0</v>
      </c>
      <c r="U44" s="4">
        <v>0</v>
      </c>
      <c r="V44" s="4">
        <v>0</v>
      </c>
      <c r="W44" s="4">
        <v>0</v>
      </c>
      <c r="X44" s="4">
        <v>0</v>
      </c>
      <c r="Y44" s="4">
        <v>0</v>
      </c>
      <c r="Z44" s="4">
        <v>0</v>
      </c>
      <c r="AA44" s="4">
        <v>0</v>
      </c>
      <c r="AB44" s="4">
        <v>0</v>
      </c>
    </row>
    <row r="45" spans="1:28" x14ac:dyDescent="0.25">
      <c r="A45" s="4" t="s">
        <v>26</v>
      </c>
      <c r="B45" s="4">
        <v>0</v>
      </c>
      <c r="C45" s="4">
        <v>0</v>
      </c>
      <c r="D45" s="4">
        <v>0</v>
      </c>
      <c r="E45" s="4">
        <v>0</v>
      </c>
      <c r="F45" s="4">
        <v>0</v>
      </c>
      <c r="G45" s="4">
        <v>0</v>
      </c>
      <c r="H45" s="4">
        <v>0</v>
      </c>
      <c r="I45" s="4">
        <v>0</v>
      </c>
      <c r="J45" s="4">
        <v>0</v>
      </c>
      <c r="K45" s="4">
        <v>0</v>
      </c>
      <c r="L45" s="4">
        <v>0</v>
      </c>
      <c r="M45" s="4">
        <v>0</v>
      </c>
      <c r="N45" s="4"/>
      <c r="O45" s="4"/>
      <c r="P45" s="4" t="s">
        <v>26</v>
      </c>
      <c r="Q45" s="4">
        <v>0</v>
      </c>
      <c r="R45" s="4">
        <v>0</v>
      </c>
      <c r="S45" s="4">
        <v>0</v>
      </c>
      <c r="T45" s="4">
        <v>0</v>
      </c>
      <c r="U45" s="4">
        <v>0</v>
      </c>
      <c r="V45" s="4">
        <v>0</v>
      </c>
      <c r="W45" s="4">
        <v>0</v>
      </c>
      <c r="X45" s="4">
        <v>0</v>
      </c>
      <c r="Y45" s="4">
        <v>0</v>
      </c>
      <c r="Z45" s="4">
        <v>0</v>
      </c>
      <c r="AA45" s="4">
        <v>0</v>
      </c>
      <c r="AB45" s="4">
        <v>0</v>
      </c>
    </row>
    <row r="46" spans="1:28" x14ac:dyDescent="0.25">
      <c r="A46" s="4" t="s">
        <v>27</v>
      </c>
      <c r="B46" s="4">
        <v>0</v>
      </c>
      <c r="C46" s="4">
        <v>0</v>
      </c>
      <c r="D46" s="4">
        <v>0</v>
      </c>
      <c r="E46" s="4">
        <v>0</v>
      </c>
      <c r="F46" s="4">
        <v>0</v>
      </c>
      <c r="G46" s="4">
        <v>0</v>
      </c>
      <c r="H46" s="4">
        <v>0</v>
      </c>
      <c r="I46" s="4">
        <v>0</v>
      </c>
      <c r="J46" s="4">
        <v>0</v>
      </c>
      <c r="K46" s="4">
        <v>0</v>
      </c>
      <c r="L46" s="4">
        <v>0</v>
      </c>
      <c r="M46" s="4">
        <v>0</v>
      </c>
      <c r="N46" s="4"/>
      <c r="O46" s="4"/>
      <c r="P46" s="4" t="s">
        <v>27</v>
      </c>
      <c r="Q46" s="4">
        <v>0</v>
      </c>
      <c r="R46" s="4">
        <v>0</v>
      </c>
      <c r="S46" s="4">
        <v>0</v>
      </c>
      <c r="T46" s="4">
        <v>0</v>
      </c>
      <c r="U46" s="4">
        <v>0</v>
      </c>
      <c r="V46" s="4">
        <v>0</v>
      </c>
      <c r="W46" s="4">
        <v>0</v>
      </c>
      <c r="X46" s="4">
        <v>0</v>
      </c>
      <c r="Y46" s="4">
        <v>0</v>
      </c>
      <c r="Z46" s="4">
        <v>0</v>
      </c>
      <c r="AA46" s="4">
        <v>0</v>
      </c>
      <c r="AB46" s="4">
        <v>0</v>
      </c>
    </row>
    <row r="47" spans="1:28" x14ac:dyDescent="0.25">
      <c r="A47" s="4" t="s">
        <v>28</v>
      </c>
      <c r="B47" s="4">
        <v>0</v>
      </c>
      <c r="C47" s="4">
        <v>0</v>
      </c>
      <c r="D47" s="4">
        <v>0</v>
      </c>
      <c r="E47" s="4">
        <v>0</v>
      </c>
      <c r="F47" s="4">
        <v>0</v>
      </c>
      <c r="G47" s="4">
        <v>0</v>
      </c>
      <c r="H47" s="4">
        <v>0</v>
      </c>
      <c r="I47" s="4">
        <v>0</v>
      </c>
      <c r="J47" s="4">
        <v>0</v>
      </c>
      <c r="K47" s="4">
        <v>0</v>
      </c>
      <c r="L47" s="4">
        <v>0</v>
      </c>
      <c r="M47" s="4">
        <v>0</v>
      </c>
      <c r="N47" s="4"/>
      <c r="O47" s="4"/>
      <c r="P47" s="4" t="s">
        <v>28</v>
      </c>
      <c r="Q47" s="4">
        <v>0</v>
      </c>
      <c r="R47" s="4">
        <v>0</v>
      </c>
      <c r="S47" s="4">
        <v>0</v>
      </c>
      <c r="T47" s="4">
        <v>0</v>
      </c>
      <c r="U47" s="4">
        <v>0</v>
      </c>
      <c r="V47" s="4">
        <v>0</v>
      </c>
      <c r="W47" s="4">
        <v>0</v>
      </c>
      <c r="X47" s="4">
        <v>0</v>
      </c>
      <c r="Y47" s="4">
        <v>0</v>
      </c>
      <c r="Z47" s="4">
        <v>0</v>
      </c>
      <c r="AA47" s="4">
        <v>0</v>
      </c>
      <c r="AB47" s="4">
        <v>0</v>
      </c>
    </row>
    <row r="48" spans="1:28" x14ac:dyDescent="0.25">
      <c r="A48" s="4" t="s">
        <v>29</v>
      </c>
      <c r="B48" s="4">
        <v>0</v>
      </c>
      <c r="C48" s="4">
        <v>0</v>
      </c>
      <c r="D48" s="4">
        <v>0</v>
      </c>
      <c r="E48" s="4">
        <v>0</v>
      </c>
      <c r="F48" s="4">
        <v>0</v>
      </c>
      <c r="G48" s="4">
        <v>0</v>
      </c>
      <c r="H48" s="4">
        <v>0</v>
      </c>
      <c r="I48" s="4">
        <v>0</v>
      </c>
      <c r="J48" s="4">
        <v>0</v>
      </c>
      <c r="K48" s="4">
        <v>0</v>
      </c>
      <c r="L48" s="4">
        <v>0</v>
      </c>
      <c r="M48" s="4">
        <v>0</v>
      </c>
      <c r="N48" s="4"/>
      <c r="O48" s="4"/>
      <c r="P48" s="4" t="s">
        <v>29</v>
      </c>
      <c r="Q48" s="4">
        <v>0</v>
      </c>
      <c r="R48" s="4">
        <v>0</v>
      </c>
      <c r="S48" s="4">
        <v>0</v>
      </c>
      <c r="T48" s="4">
        <v>0</v>
      </c>
      <c r="U48" s="4">
        <v>0</v>
      </c>
      <c r="V48" s="4">
        <v>0</v>
      </c>
      <c r="W48" s="4">
        <v>0</v>
      </c>
      <c r="X48" s="4">
        <v>0</v>
      </c>
      <c r="Y48" s="4">
        <v>0</v>
      </c>
      <c r="Z48" s="4">
        <v>0</v>
      </c>
      <c r="AA48" s="4">
        <v>0</v>
      </c>
      <c r="AB48" s="4">
        <v>0</v>
      </c>
    </row>
    <row r="49" spans="1:28" x14ac:dyDescent="0.25">
      <c r="A49" s="4" t="s">
        <v>30</v>
      </c>
      <c r="B49" s="4">
        <v>0</v>
      </c>
      <c r="C49" s="4">
        <v>0</v>
      </c>
      <c r="D49" s="4">
        <v>0</v>
      </c>
      <c r="E49" s="4">
        <v>0</v>
      </c>
      <c r="F49" s="4">
        <v>0</v>
      </c>
      <c r="G49" s="4">
        <v>0</v>
      </c>
      <c r="H49" s="4">
        <v>0</v>
      </c>
      <c r="I49" s="4">
        <v>0</v>
      </c>
      <c r="J49" s="4">
        <v>0</v>
      </c>
      <c r="K49" s="4">
        <v>0</v>
      </c>
      <c r="L49" s="4">
        <v>0</v>
      </c>
      <c r="M49" s="4">
        <v>0</v>
      </c>
      <c r="N49" s="4"/>
      <c r="O49" s="4"/>
      <c r="P49" s="4" t="s">
        <v>30</v>
      </c>
      <c r="Q49" s="4">
        <v>0</v>
      </c>
      <c r="R49" s="4">
        <v>0</v>
      </c>
      <c r="S49" s="4">
        <v>0</v>
      </c>
      <c r="T49" s="4">
        <v>0</v>
      </c>
      <c r="U49" s="4">
        <v>0</v>
      </c>
      <c r="V49" s="4">
        <v>0</v>
      </c>
      <c r="W49" s="4">
        <v>0</v>
      </c>
      <c r="X49" s="4">
        <v>0</v>
      </c>
      <c r="Y49" s="4">
        <v>0</v>
      </c>
      <c r="Z49" s="4">
        <v>0</v>
      </c>
      <c r="AA49" s="4">
        <v>0</v>
      </c>
      <c r="AB49" s="4">
        <v>0</v>
      </c>
    </row>
    <row r="50" spans="1:28" x14ac:dyDescent="0.25">
      <c r="A50" s="4" t="s">
        <v>31</v>
      </c>
      <c r="B50" s="4"/>
      <c r="C50" s="4"/>
      <c r="D50" s="4"/>
      <c r="E50" s="4">
        <v>0</v>
      </c>
      <c r="F50" s="4">
        <v>0</v>
      </c>
      <c r="G50" s="4">
        <v>0</v>
      </c>
      <c r="H50" s="4">
        <v>0</v>
      </c>
      <c r="I50" s="4">
        <v>0</v>
      </c>
      <c r="J50" s="4"/>
      <c r="K50" s="4"/>
      <c r="L50" s="4"/>
      <c r="M50" s="4"/>
      <c r="N50" s="4"/>
      <c r="O50" s="4"/>
      <c r="P50" s="4" t="s">
        <v>31</v>
      </c>
      <c r="Q50" s="4"/>
      <c r="R50" s="4"/>
      <c r="S50" s="4"/>
      <c r="T50" s="4">
        <v>0</v>
      </c>
      <c r="U50" s="4">
        <v>0</v>
      </c>
      <c r="V50" s="4">
        <v>0</v>
      </c>
      <c r="W50" s="4">
        <v>0</v>
      </c>
      <c r="X50" s="4">
        <v>0</v>
      </c>
      <c r="Y50" s="4"/>
      <c r="Z50" s="4"/>
      <c r="AA50" s="4"/>
      <c r="AB50" s="4"/>
    </row>
    <row r="51" spans="1:28" x14ac:dyDescent="0.25">
      <c r="A51" s="4" t="s">
        <v>32</v>
      </c>
      <c r="B51" s="4"/>
      <c r="C51" s="4"/>
      <c r="D51" s="4"/>
      <c r="E51" s="4"/>
      <c r="F51" s="4"/>
      <c r="G51" s="4"/>
      <c r="H51" s="4"/>
      <c r="I51" s="4"/>
      <c r="J51" s="4"/>
      <c r="K51" s="4"/>
      <c r="L51" s="4"/>
      <c r="M51" s="4"/>
      <c r="N51" s="4"/>
      <c r="O51" s="4"/>
      <c r="P51" s="4" t="s">
        <v>32</v>
      </c>
      <c r="Q51" s="4"/>
      <c r="R51" s="4"/>
      <c r="S51" s="4"/>
      <c r="T51" s="4"/>
      <c r="U51" s="4"/>
      <c r="V51" s="4"/>
      <c r="W51" s="4"/>
      <c r="X51" s="4"/>
      <c r="Y51" s="4"/>
      <c r="Z51" s="4"/>
      <c r="AA51" s="4"/>
      <c r="AB51" s="4"/>
    </row>
    <row r="52" spans="1:28" x14ac:dyDescent="0.25">
      <c r="A52" s="4" t="s">
        <v>33</v>
      </c>
      <c r="B52" s="4"/>
      <c r="C52" s="4"/>
      <c r="D52" s="4"/>
      <c r="E52" s="4"/>
      <c r="F52" s="4"/>
      <c r="G52" s="4"/>
      <c r="H52" s="4"/>
      <c r="I52" s="4"/>
      <c r="J52" s="4"/>
      <c r="K52" s="4"/>
      <c r="L52" s="4"/>
      <c r="M52" s="4"/>
      <c r="N52" s="4"/>
      <c r="O52" s="4"/>
      <c r="P52" s="4" t="s">
        <v>33</v>
      </c>
      <c r="Q52" s="4"/>
      <c r="R52" s="4"/>
      <c r="S52" s="4"/>
      <c r="T52" s="4"/>
      <c r="U52" s="4"/>
      <c r="V52" s="4"/>
      <c r="W52" s="4"/>
      <c r="X52" s="4"/>
      <c r="Y52" s="4"/>
      <c r="Z52" s="4"/>
      <c r="AA52" s="4"/>
      <c r="AB52" s="4"/>
    </row>
    <row r="53" spans="1:28" x14ac:dyDescent="0.25">
      <c r="A53" s="4" t="s">
        <v>34</v>
      </c>
      <c r="B53" s="4"/>
      <c r="C53" s="4"/>
      <c r="D53" s="4"/>
      <c r="E53" s="4"/>
      <c r="F53" s="4"/>
      <c r="G53" s="4"/>
      <c r="H53" s="4"/>
      <c r="I53" s="4"/>
      <c r="J53" s="4"/>
      <c r="K53" s="4"/>
      <c r="L53" s="4"/>
      <c r="M53" s="4"/>
      <c r="N53" s="4"/>
      <c r="O53" s="4"/>
      <c r="P53" s="4" t="s">
        <v>34</v>
      </c>
      <c r="Q53" s="4"/>
      <c r="R53" s="4"/>
      <c r="S53" s="4"/>
      <c r="T53" s="4"/>
      <c r="U53" s="4"/>
      <c r="V53" s="4"/>
      <c r="W53" s="4"/>
      <c r="X53" s="4"/>
      <c r="Y53" s="4"/>
      <c r="Z53" s="4"/>
      <c r="AA53" s="4"/>
      <c r="AB53" s="4"/>
    </row>
    <row r="54" spans="1:28" x14ac:dyDescent="0.25">
      <c r="A54" s="4" t="s">
        <v>35</v>
      </c>
      <c r="B54" s="4"/>
      <c r="C54" s="4"/>
      <c r="D54" s="4"/>
      <c r="E54" s="4"/>
      <c r="F54" s="4"/>
      <c r="G54" s="4"/>
      <c r="H54" s="4"/>
      <c r="I54" s="4"/>
      <c r="J54" s="4"/>
      <c r="K54" s="4"/>
      <c r="L54" s="4"/>
      <c r="M54" s="4"/>
      <c r="N54" s="4"/>
      <c r="O54" s="4"/>
      <c r="P54" s="4" t="s">
        <v>35</v>
      </c>
      <c r="Q54" s="4"/>
      <c r="R54" s="4"/>
      <c r="S54" s="4"/>
      <c r="T54" s="4"/>
      <c r="U54" s="4"/>
      <c r="V54" s="4"/>
      <c r="W54" s="4"/>
      <c r="X54" s="4"/>
      <c r="Y54" s="4"/>
      <c r="Z54" s="4"/>
      <c r="AA54" s="4"/>
      <c r="AB54" s="4"/>
    </row>
    <row r="55" spans="1:28" x14ac:dyDescent="0.25">
      <c r="A55" s="4" t="s">
        <v>36</v>
      </c>
      <c r="B55" s="4"/>
      <c r="C55" s="4"/>
      <c r="D55" s="4"/>
      <c r="E55" s="4"/>
      <c r="F55" s="4"/>
      <c r="G55" s="4"/>
      <c r="H55" s="4"/>
      <c r="I55" s="4"/>
      <c r="J55" s="4"/>
      <c r="K55" s="4"/>
      <c r="L55" s="4"/>
      <c r="M55" s="4"/>
      <c r="N55" s="4"/>
      <c r="O55" s="4"/>
      <c r="P55" s="4" t="s">
        <v>36</v>
      </c>
      <c r="Q55" s="4"/>
      <c r="R55" s="4"/>
      <c r="S55" s="4"/>
      <c r="T55" s="4"/>
      <c r="U55" s="4"/>
      <c r="V55" s="4"/>
      <c r="W55" s="4"/>
      <c r="X55" s="4"/>
      <c r="Y55" s="4"/>
      <c r="Z55" s="4"/>
      <c r="AA55" s="4"/>
      <c r="AB55" s="4"/>
    </row>
    <row r="56" spans="1:28" x14ac:dyDescent="0.2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row>
    <row r="57" spans="1:28" x14ac:dyDescent="0.2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row>
    <row r="58" spans="1:28" x14ac:dyDescent="0.25">
      <c r="A58" s="4" t="s">
        <v>105</v>
      </c>
      <c r="B58" s="4"/>
      <c r="C58" s="4"/>
      <c r="D58" s="4"/>
      <c r="E58" s="4"/>
      <c r="F58" s="4"/>
      <c r="G58" s="4"/>
      <c r="H58" s="4"/>
      <c r="I58" s="4"/>
      <c r="J58" s="4"/>
      <c r="K58" s="4"/>
      <c r="L58" s="4"/>
      <c r="M58" s="4"/>
      <c r="N58" s="4"/>
      <c r="O58" s="4"/>
      <c r="P58" s="4" t="s">
        <v>105</v>
      </c>
      <c r="Q58" s="4"/>
      <c r="R58" s="4"/>
      <c r="S58" s="4"/>
      <c r="T58" s="4"/>
      <c r="U58" s="4"/>
      <c r="V58" s="4"/>
      <c r="W58" s="4"/>
      <c r="X58" s="4"/>
      <c r="Y58" s="4"/>
      <c r="Z58" s="4"/>
      <c r="AA58" s="4"/>
      <c r="AB58" s="4"/>
    </row>
    <row r="59" spans="1:28" x14ac:dyDescent="0.25">
      <c r="A59" s="4"/>
      <c r="B59" s="4" t="s">
        <v>1</v>
      </c>
      <c r="C59" s="4" t="s">
        <v>2</v>
      </c>
      <c r="D59" s="4" t="s">
        <v>3</v>
      </c>
      <c r="E59" s="4" t="s">
        <v>4</v>
      </c>
      <c r="F59" s="4" t="s">
        <v>5</v>
      </c>
      <c r="G59" s="4" t="s">
        <v>6</v>
      </c>
      <c r="H59" s="4" t="s">
        <v>7</v>
      </c>
      <c r="I59" s="4" t="s">
        <v>8</v>
      </c>
      <c r="J59" s="4" t="s">
        <v>9</v>
      </c>
      <c r="K59" s="4" t="s">
        <v>10</v>
      </c>
      <c r="L59" s="4" t="s">
        <v>11</v>
      </c>
      <c r="M59" s="4" t="s">
        <v>12</v>
      </c>
      <c r="N59" s="4"/>
      <c r="O59" s="4"/>
      <c r="P59" s="4"/>
      <c r="Q59" s="4" t="s">
        <v>1</v>
      </c>
      <c r="R59" s="4" t="s">
        <v>2</v>
      </c>
      <c r="S59" s="4" t="s">
        <v>3</v>
      </c>
      <c r="T59" s="4" t="s">
        <v>4</v>
      </c>
      <c r="U59" s="4" t="s">
        <v>5</v>
      </c>
      <c r="V59" s="4" t="s">
        <v>6</v>
      </c>
      <c r="W59" s="4" t="s">
        <v>7</v>
      </c>
      <c r="X59" s="4" t="s">
        <v>8</v>
      </c>
      <c r="Y59" s="4" t="s">
        <v>9</v>
      </c>
      <c r="Z59" s="4" t="s">
        <v>10</v>
      </c>
      <c r="AA59" s="4" t="s">
        <v>11</v>
      </c>
      <c r="AB59" s="4" t="s">
        <v>12</v>
      </c>
    </row>
    <row r="60" spans="1:28" x14ac:dyDescent="0.25">
      <c r="A60" s="4" t="s">
        <v>13</v>
      </c>
      <c r="B60" s="4"/>
      <c r="C60" s="4"/>
      <c r="D60" s="4"/>
      <c r="E60" s="4"/>
      <c r="F60" s="4"/>
      <c r="G60" s="4"/>
      <c r="H60" s="4"/>
      <c r="I60" s="4"/>
      <c r="J60" s="4"/>
      <c r="K60" s="4"/>
      <c r="L60" s="4"/>
      <c r="M60" s="4"/>
      <c r="N60" s="4"/>
      <c r="O60" s="4"/>
      <c r="P60" s="4" t="s">
        <v>13</v>
      </c>
      <c r="Q60" s="4"/>
      <c r="R60" s="4"/>
      <c r="S60" s="4"/>
      <c r="T60" s="4"/>
      <c r="U60" s="4"/>
      <c r="V60" s="4"/>
      <c r="W60" s="4"/>
      <c r="X60" s="4"/>
      <c r="Y60" s="4"/>
      <c r="Z60" s="4"/>
      <c r="AA60" s="4"/>
      <c r="AB60" s="4"/>
    </row>
    <row r="61" spans="1:28" x14ac:dyDescent="0.25">
      <c r="A61" s="4" t="s">
        <v>14</v>
      </c>
      <c r="B61" s="4"/>
      <c r="C61" s="4"/>
      <c r="D61" s="4"/>
      <c r="E61" s="4"/>
      <c r="F61" s="4"/>
      <c r="G61" s="4"/>
      <c r="H61" s="4"/>
      <c r="I61" s="4"/>
      <c r="J61" s="4"/>
      <c r="K61" s="4"/>
      <c r="L61" s="4"/>
      <c r="M61" s="4"/>
      <c r="N61" s="4"/>
      <c r="O61" s="4"/>
      <c r="P61" s="4" t="s">
        <v>14</v>
      </c>
      <c r="Q61" s="63"/>
      <c r="R61" s="63"/>
      <c r="S61" s="63"/>
      <c r="T61" s="63"/>
      <c r="U61" s="63"/>
      <c r="V61" s="63"/>
      <c r="W61" s="63"/>
      <c r="X61" s="63"/>
      <c r="Y61" s="63"/>
      <c r="Z61" s="63"/>
      <c r="AA61" s="63"/>
      <c r="AB61" s="63"/>
    </row>
    <row r="62" spans="1:28" x14ac:dyDescent="0.25">
      <c r="A62" s="4" t="s">
        <v>15</v>
      </c>
      <c r="B62" s="4"/>
      <c r="C62" s="4"/>
      <c r="D62" s="4"/>
      <c r="E62" s="4"/>
      <c r="F62" s="4"/>
      <c r="G62" s="4"/>
      <c r="H62" s="4"/>
      <c r="I62" s="4"/>
      <c r="J62" s="4"/>
      <c r="K62" s="4"/>
      <c r="L62" s="4"/>
      <c r="M62" s="4"/>
      <c r="N62" s="4"/>
      <c r="O62" s="4"/>
      <c r="P62" s="4" t="s">
        <v>15</v>
      </c>
      <c r="Q62" s="63"/>
      <c r="R62" s="63"/>
      <c r="S62" s="63"/>
      <c r="T62" s="63"/>
      <c r="U62" s="63"/>
      <c r="V62" s="63"/>
      <c r="W62" s="63"/>
      <c r="X62" s="63"/>
      <c r="Y62" s="63"/>
      <c r="Z62" s="63"/>
      <c r="AA62" s="63"/>
      <c r="AB62" s="63"/>
    </row>
    <row r="63" spans="1:28" x14ac:dyDescent="0.25">
      <c r="A63" s="4" t="s">
        <v>16</v>
      </c>
      <c r="B63" s="4"/>
      <c r="C63" s="4"/>
      <c r="D63" s="4"/>
      <c r="E63" s="4"/>
      <c r="F63" s="4"/>
      <c r="G63" s="4"/>
      <c r="H63" s="4"/>
      <c r="I63" s="4"/>
      <c r="J63" s="4"/>
      <c r="K63" s="4"/>
      <c r="L63" s="4"/>
      <c r="M63" s="4"/>
      <c r="N63" s="4"/>
      <c r="O63" s="4"/>
      <c r="P63" s="4" t="s">
        <v>16</v>
      </c>
      <c r="Q63" s="63"/>
      <c r="R63" s="63"/>
      <c r="S63" s="63"/>
      <c r="T63" s="63"/>
      <c r="U63" s="63"/>
      <c r="V63" s="63"/>
      <c r="W63" s="63"/>
      <c r="X63" s="63"/>
      <c r="Y63" s="63"/>
      <c r="Z63" s="63"/>
      <c r="AA63" s="63"/>
      <c r="AB63" s="63"/>
    </row>
    <row r="64" spans="1:28" x14ac:dyDescent="0.25">
      <c r="A64" s="4" t="s">
        <v>17</v>
      </c>
      <c r="B64" s="4"/>
      <c r="C64" s="4"/>
      <c r="D64" s="4"/>
      <c r="E64" s="4"/>
      <c r="F64" s="4"/>
      <c r="G64" s="4"/>
      <c r="H64" s="4"/>
      <c r="I64" s="4"/>
      <c r="J64" s="4"/>
      <c r="K64" s="4"/>
      <c r="L64" s="4"/>
      <c r="M64" s="4"/>
      <c r="N64" s="4"/>
      <c r="O64" s="4"/>
      <c r="P64" s="4" t="s">
        <v>17</v>
      </c>
      <c r="Q64" s="63"/>
      <c r="R64" s="63"/>
      <c r="S64" s="63"/>
      <c r="T64" s="63"/>
      <c r="U64" s="63"/>
      <c r="V64" s="63"/>
      <c r="W64" s="63"/>
      <c r="X64" s="63"/>
      <c r="Y64" s="63"/>
      <c r="Z64" s="63"/>
      <c r="AA64" s="63"/>
      <c r="AB64" s="63"/>
    </row>
    <row r="65" spans="1:28" x14ac:dyDescent="0.25">
      <c r="A65" s="4" t="s">
        <v>18</v>
      </c>
      <c r="B65" s="4"/>
      <c r="C65" s="4"/>
      <c r="D65" s="4"/>
      <c r="E65" s="4"/>
      <c r="F65" s="4"/>
      <c r="G65" s="4"/>
      <c r="H65" s="4"/>
      <c r="I65" s="4"/>
      <c r="J65" s="4"/>
      <c r="K65" s="4"/>
      <c r="L65" s="4"/>
      <c r="M65" s="4"/>
      <c r="N65" s="4"/>
      <c r="O65" s="4"/>
      <c r="P65" s="4" t="s">
        <v>18</v>
      </c>
      <c r="Q65" s="63"/>
      <c r="R65" s="63"/>
      <c r="S65" s="63"/>
      <c r="T65" s="63"/>
      <c r="U65" s="63"/>
      <c r="V65" s="63"/>
      <c r="W65" s="63"/>
      <c r="X65" s="63"/>
      <c r="Y65" s="63"/>
      <c r="Z65" s="63"/>
      <c r="AA65" s="63"/>
      <c r="AB65" s="63"/>
    </row>
    <row r="66" spans="1:28" x14ac:dyDescent="0.25">
      <c r="A66" s="4" t="s">
        <v>19</v>
      </c>
      <c r="B66" s="4"/>
      <c r="C66" s="4"/>
      <c r="D66" s="4"/>
      <c r="E66" s="4">
        <v>1</v>
      </c>
      <c r="F66" s="4">
        <v>1</v>
      </c>
      <c r="G66" s="4">
        <v>1</v>
      </c>
      <c r="H66" s="4">
        <v>1</v>
      </c>
      <c r="I66" s="4">
        <v>1</v>
      </c>
      <c r="J66" s="4"/>
      <c r="K66" s="4"/>
      <c r="L66" s="4"/>
      <c r="M66" s="4"/>
      <c r="N66" s="4"/>
      <c r="O66" s="4"/>
      <c r="P66" s="4" t="s">
        <v>19</v>
      </c>
      <c r="Q66" s="63"/>
      <c r="R66" s="63"/>
      <c r="S66" s="63"/>
      <c r="T66" s="63">
        <v>1</v>
      </c>
      <c r="U66" s="63">
        <v>1</v>
      </c>
      <c r="V66" s="63">
        <v>1</v>
      </c>
      <c r="W66" s="63">
        <v>1</v>
      </c>
      <c r="X66" s="63">
        <v>1</v>
      </c>
      <c r="Y66" s="63"/>
      <c r="Z66" s="63"/>
      <c r="AA66" s="63"/>
      <c r="AB66" s="63"/>
    </row>
    <row r="67" spans="1:28" x14ac:dyDescent="0.25">
      <c r="A67" s="4" t="s">
        <v>20</v>
      </c>
      <c r="B67" s="4">
        <v>1</v>
      </c>
      <c r="C67" s="4">
        <v>1</v>
      </c>
      <c r="D67" s="4">
        <v>1</v>
      </c>
      <c r="E67" s="4">
        <v>1</v>
      </c>
      <c r="F67" s="4">
        <v>1</v>
      </c>
      <c r="G67" s="4">
        <v>1</v>
      </c>
      <c r="H67" s="4">
        <v>1</v>
      </c>
      <c r="I67" s="4">
        <v>1</v>
      </c>
      <c r="J67" s="4">
        <v>1</v>
      </c>
      <c r="K67" s="4">
        <v>1</v>
      </c>
      <c r="L67" s="4">
        <v>1</v>
      </c>
      <c r="M67" s="4">
        <v>1</v>
      </c>
      <c r="N67" s="4"/>
      <c r="O67" s="4"/>
      <c r="P67" s="4" t="s">
        <v>20</v>
      </c>
      <c r="Q67" s="63">
        <v>1</v>
      </c>
      <c r="R67" s="63">
        <v>1</v>
      </c>
      <c r="S67" s="63">
        <v>1</v>
      </c>
      <c r="T67" s="63">
        <v>1</v>
      </c>
      <c r="U67" s="63">
        <v>1</v>
      </c>
      <c r="V67" s="63">
        <v>1</v>
      </c>
      <c r="W67" s="63">
        <v>1</v>
      </c>
      <c r="X67" s="63">
        <v>1</v>
      </c>
      <c r="Y67" s="63">
        <v>1</v>
      </c>
      <c r="Z67" s="63">
        <v>1</v>
      </c>
      <c r="AA67" s="63">
        <v>1</v>
      </c>
      <c r="AB67" s="63">
        <v>1</v>
      </c>
    </row>
    <row r="68" spans="1:28" x14ac:dyDescent="0.25">
      <c r="A68" s="4" t="s">
        <v>21</v>
      </c>
      <c r="B68" s="4">
        <v>1</v>
      </c>
      <c r="C68" s="4">
        <v>1</v>
      </c>
      <c r="D68" s="4">
        <v>1</v>
      </c>
      <c r="E68" s="4">
        <v>1</v>
      </c>
      <c r="F68" s="4">
        <v>1</v>
      </c>
      <c r="G68" s="4">
        <v>1</v>
      </c>
      <c r="H68" s="4">
        <v>1</v>
      </c>
      <c r="I68" s="4">
        <v>1</v>
      </c>
      <c r="J68" s="4">
        <v>1</v>
      </c>
      <c r="K68" s="4">
        <v>1</v>
      </c>
      <c r="L68" s="4">
        <v>1</v>
      </c>
      <c r="M68" s="4">
        <v>1</v>
      </c>
      <c r="N68" s="4"/>
      <c r="O68" s="4"/>
      <c r="P68" s="4" t="s">
        <v>21</v>
      </c>
      <c r="Q68" s="63">
        <v>1</v>
      </c>
      <c r="R68" s="63">
        <v>1</v>
      </c>
      <c r="S68" s="63">
        <v>1</v>
      </c>
      <c r="T68" s="63">
        <v>1</v>
      </c>
      <c r="U68" s="63">
        <v>1</v>
      </c>
      <c r="V68" s="63">
        <v>1</v>
      </c>
      <c r="W68" s="63">
        <v>1</v>
      </c>
      <c r="X68" s="63">
        <v>1</v>
      </c>
      <c r="Y68" s="63">
        <v>1</v>
      </c>
      <c r="Z68" s="63">
        <v>1</v>
      </c>
      <c r="AA68" s="63">
        <v>1</v>
      </c>
      <c r="AB68" s="63">
        <v>1</v>
      </c>
    </row>
    <row r="69" spans="1:28" x14ac:dyDescent="0.25">
      <c r="A69" s="4" t="s">
        <v>22</v>
      </c>
      <c r="B69" s="4">
        <v>1</v>
      </c>
      <c r="C69" s="4">
        <v>1</v>
      </c>
      <c r="D69" s="4">
        <v>1</v>
      </c>
      <c r="E69" s="4">
        <v>1</v>
      </c>
      <c r="F69" s="4">
        <v>1</v>
      </c>
      <c r="G69" s="4">
        <v>1</v>
      </c>
      <c r="H69" s="4">
        <v>1</v>
      </c>
      <c r="I69" s="4">
        <v>1</v>
      </c>
      <c r="J69" s="4">
        <v>1</v>
      </c>
      <c r="K69" s="4">
        <v>1</v>
      </c>
      <c r="L69" s="4">
        <v>1</v>
      </c>
      <c r="M69" s="4">
        <v>1</v>
      </c>
      <c r="N69" s="4"/>
      <c r="O69" s="4"/>
      <c r="P69" s="4" t="s">
        <v>22</v>
      </c>
      <c r="Q69" s="63">
        <v>1</v>
      </c>
      <c r="R69" s="63">
        <v>1</v>
      </c>
      <c r="S69" s="63">
        <v>1</v>
      </c>
      <c r="T69" s="63">
        <v>1</v>
      </c>
      <c r="U69" s="63">
        <v>1</v>
      </c>
      <c r="V69" s="63">
        <v>1</v>
      </c>
      <c r="W69" s="63">
        <v>1</v>
      </c>
      <c r="X69" s="63">
        <v>1</v>
      </c>
      <c r="Y69" s="63">
        <v>1</v>
      </c>
      <c r="Z69" s="63">
        <v>1</v>
      </c>
      <c r="AA69" s="63">
        <v>1</v>
      </c>
      <c r="AB69" s="63">
        <v>1</v>
      </c>
    </row>
    <row r="70" spans="1:28" x14ac:dyDescent="0.25">
      <c r="A70" s="4" t="s">
        <v>23</v>
      </c>
      <c r="B70" s="4">
        <v>1</v>
      </c>
      <c r="C70" s="4">
        <v>1</v>
      </c>
      <c r="D70" s="4">
        <v>1</v>
      </c>
      <c r="E70" s="4">
        <v>1</v>
      </c>
      <c r="F70" s="4">
        <v>1</v>
      </c>
      <c r="G70" s="4">
        <v>1</v>
      </c>
      <c r="H70" s="4">
        <v>1</v>
      </c>
      <c r="I70" s="4">
        <v>1</v>
      </c>
      <c r="J70" s="4">
        <v>1</v>
      </c>
      <c r="K70" s="4">
        <v>1</v>
      </c>
      <c r="L70" s="4">
        <v>1</v>
      </c>
      <c r="M70" s="4">
        <v>1</v>
      </c>
      <c r="N70" s="4"/>
      <c r="O70" s="4"/>
      <c r="P70" s="4" t="s">
        <v>23</v>
      </c>
      <c r="Q70" s="63">
        <v>1</v>
      </c>
      <c r="R70" s="63">
        <v>1</v>
      </c>
      <c r="S70" s="63">
        <v>1</v>
      </c>
      <c r="T70" s="63">
        <v>1</v>
      </c>
      <c r="U70" s="63">
        <v>1</v>
      </c>
      <c r="V70" s="63">
        <v>1</v>
      </c>
      <c r="W70" s="63">
        <v>1</v>
      </c>
      <c r="X70" s="63">
        <v>1</v>
      </c>
      <c r="Y70" s="63">
        <v>1</v>
      </c>
      <c r="Z70" s="63">
        <v>1</v>
      </c>
      <c r="AA70" s="63">
        <v>1</v>
      </c>
      <c r="AB70" s="63">
        <v>1</v>
      </c>
    </row>
    <row r="71" spans="1:28" x14ac:dyDescent="0.25">
      <c r="A71" s="4" t="s">
        <v>24</v>
      </c>
      <c r="B71" s="4">
        <v>1</v>
      </c>
      <c r="C71" s="4">
        <v>1</v>
      </c>
      <c r="D71" s="4">
        <v>1</v>
      </c>
      <c r="E71" s="4">
        <v>1</v>
      </c>
      <c r="F71" s="4">
        <v>1</v>
      </c>
      <c r="G71" s="4">
        <v>1</v>
      </c>
      <c r="H71" s="4">
        <v>1</v>
      </c>
      <c r="I71" s="4">
        <v>1</v>
      </c>
      <c r="J71" s="4">
        <v>1</v>
      </c>
      <c r="K71" s="4">
        <v>1</v>
      </c>
      <c r="L71" s="4">
        <v>1</v>
      </c>
      <c r="M71" s="4">
        <v>1</v>
      </c>
      <c r="N71" s="4"/>
      <c r="O71" s="4"/>
      <c r="P71" s="4" t="s">
        <v>24</v>
      </c>
      <c r="Q71" s="63">
        <v>1</v>
      </c>
      <c r="R71" s="63">
        <v>1</v>
      </c>
      <c r="S71" s="63">
        <v>1</v>
      </c>
      <c r="T71" s="63">
        <v>1</v>
      </c>
      <c r="U71" s="63">
        <v>1</v>
      </c>
      <c r="V71" s="63">
        <v>1</v>
      </c>
      <c r="W71" s="63">
        <v>1</v>
      </c>
      <c r="X71" s="63">
        <v>1</v>
      </c>
      <c r="Y71" s="63">
        <v>1</v>
      </c>
      <c r="Z71" s="63">
        <v>1</v>
      </c>
      <c r="AA71" s="63">
        <v>1</v>
      </c>
      <c r="AB71" s="63">
        <v>1</v>
      </c>
    </row>
    <row r="72" spans="1:28" x14ac:dyDescent="0.25">
      <c r="A72" s="4" t="s">
        <v>25</v>
      </c>
      <c r="B72" s="4">
        <v>1</v>
      </c>
      <c r="C72" s="4">
        <v>1</v>
      </c>
      <c r="D72" s="4">
        <v>1</v>
      </c>
      <c r="E72" s="4">
        <v>1</v>
      </c>
      <c r="F72" s="4">
        <v>1</v>
      </c>
      <c r="G72" s="4">
        <v>1</v>
      </c>
      <c r="H72" s="4">
        <v>1</v>
      </c>
      <c r="I72" s="4">
        <v>1</v>
      </c>
      <c r="J72" s="4">
        <v>1</v>
      </c>
      <c r="K72" s="4">
        <v>1</v>
      </c>
      <c r="L72" s="4">
        <v>1</v>
      </c>
      <c r="M72" s="4">
        <v>1</v>
      </c>
      <c r="N72" s="4"/>
      <c r="O72" s="4"/>
      <c r="P72" s="4" t="s">
        <v>25</v>
      </c>
      <c r="Q72" s="63">
        <v>1</v>
      </c>
      <c r="R72" s="63">
        <v>1</v>
      </c>
      <c r="S72" s="63">
        <v>1</v>
      </c>
      <c r="T72" s="63">
        <v>1</v>
      </c>
      <c r="U72" s="63">
        <v>1</v>
      </c>
      <c r="V72" s="63">
        <v>1</v>
      </c>
      <c r="W72" s="63">
        <v>1</v>
      </c>
      <c r="X72" s="63">
        <v>1</v>
      </c>
      <c r="Y72" s="63">
        <v>1</v>
      </c>
      <c r="Z72" s="63">
        <v>1</v>
      </c>
      <c r="AA72" s="63">
        <v>1</v>
      </c>
      <c r="AB72" s="63">
        <v>1</v>
      </c>
    </row>
    <row r="73" spans="1:28" x14ac:dyDescent="0.25">
      <c r="A73" s="4" t="s">
        <v>26</v>
      </c>
      <c r="B73" s="4">
        <v>1</v>
      </c>
      <c r="C73" s="4">
        <v>1</v>
      </c>
      <c r="D73" s="4">
        <v>1</v>
      </c>
      <c r="E73" s="4">
        <v>1</v>
      </c>
      <c r="F73" s="4">
        <v>1</v>
      </c>
      <c r="G73" s="4">
        <v>1</v>
      </c>
      <c r="H73" s="4">
        <v>1</v>
      </c>
      <c r="I73" s="4">
        <v>1</v>
      </c>
      <c r="J73" s="4">
        <v>1</v>
      </c>
      <c r="K73" s="4">
        <v>1</v>
      </c>
      <c r="L73" s="4">
        <v>1</v>
      </c>
      <c r="M73" s="4">
        <v>1</v>
      </c>
      <c r="N73" s="4"/>
      <c r="O73" s="4"/>
      <c r="P73" s="4" t="s">
        <v>26</v>
      </c>
      <c r="Q73" s="63">
        <v>1</v>
      </c>
      <c r="R73" s="63">
        <v>1</v>
      </c>
      <c r="S73" s="63">
        <v>1</v>
      </c>
      <c r="T73" s="63">
        <v>1</v>
      </c>
      <c r="U73" s="63">
        <v>1</v>
      </c>
      <c r="V73" s="63">
        <v>1</v>
      </c>
      <c r="W73" s="63">
        <v>1</v>
      </c>
      <c r="X73" s="63">
        <v>1</v>
      </c>
      <c r="Y73" s="63">
        <v>1</v>
      </c>
      <c r="Z73" s="63">
        <v>1</v>
      </c>
      <c r="AA73" s="63">
        <v>1</v>
      </c>
      <c r="AB73" s="63">
        <v>1</v>
      </c>
    </row>
    <row r="74" spans="1:28" x14ac:dyDescent="0.25">
      <c r="A74" s="4" t="s">
        <v>27</v>
      </c>
      <c r="B74" s="4">
        <v>1</v>
      </c>
      <c r="C74" s="4">
        <v>1</v>
      </c>
      <c r="D74" s="4">
        <v>1</v>
      </c>
      <c r="E74" s="4">
        <v>1</v>
      </c>
      <c r="F74" s="4">
        <v>1</v>
      </c>
      <c r="G74" s="4">
        <v>1</v>
      </c>
      <c r="H74" s="4">
        <v>1</v>
      </c>
      <c r="I74" s="4">
        <v>1</v>
      </c>
      <c r="J74" s="4">
        <v>1</v>
      </c>
      <c r="K74" s="4">
        <v>1</v>
      </c>
      <c r="L74" s="4">
        <v>1</v>
      </c>
      <c r="M74" s="4">
        <v>1</v>
      </c>
      <c r="N74" s="4"/>
      <c r="O74" s="4"/>
      <c r="P74" s="4" t="s">
        <v>27</v>
      </c>
      <c r="Q74" s="63">
        <v>1</v>
      </c>
      <c r="R74" s="63">
        <v>1</v>
      </c>
      <c r="S74" s="63">
        <v>1</v>
      </c>
      <c r="T74" s="63">
        <v>1</v>
      </c>
      <c r="U74" s="63">
        <v>1</v>
      </c>
      <c r="V74" s="63">
        <v>1</v>
      </c>
      <c r="W74" s="63">
        <v>1</v>
      </c>
      <c r="X74" s="63">
        <v>1</v>
      </c>
      <c r="Y74" s="63">
        <v>1</v>
      </c>
      <c r="Z74" s="63">
        <v>1</v>
      </c>
      <c r="AA74" s="63">
        <v>1</v>
      </c>
      <c r="AB74" s="63">
        <v>1</v>
      </c>
    </row>
    <row r="75" spans="1:28" x14ac:dyDescent="0.25">
      <c r="A75" s="4" t="s">
        <v>28</v>
      </c>
      <c r="B75" s="4">
        <v>1</v>
      </c>
      <c r="C75" s="4">
        <v>1</v>
      </c>
      <c r="D75" s="4">
        <v>1</v>
      </c>
      <c r="E75" s="4">
        <v>1</v>
      </c>
      <c r="F75" s="4">
        <v>1</v>
      </c>
      <c r="G75" s="4">
        <v>1</v>
      </c>
      <c r="H75" s="4">
        <v>1</v>
      </c>
      <c r="I75" s="4">
        <v>1</v>
      </c>
      <c r="J75" s="4">
        <v>1</v>
      </c>
      <c r="K75" s="4">
        <v>1</v>
      </c>
      <c r="L75" s="4">
        <v>1</v>
      </c>
      <c r="M75" s="4">
        <v>1</v>
      </c>
      <c r="N75" s="4"/>
      <c r="O75" s="4"/>
      <c r="P75" s="4" t="s">
        <v>28</v>
      </c>
      <c r="Q75" s="63">
        <v>1</v>
      </c>
      <c r="R75" s="63">
        <v>1</v>
      </c>
      <c r="S75" s="63">
        <v>1</v>
      </c>
      <c r="T75" s="63">
        <v>1</v>
      </c>
      <c r="U75" s="63">
        <v>1</v>
      </c>
      <c r="V75" s="63">
        <v>1</v>
      </c>
      <c r="W75" s="63">
        <v>1</v>
      </c>
      <c r="X75" s="63">
        <v>1</v>
      </c>
      <c r="Y75" s="63">
        <v>1</v>
      </c>
      <c r="Z75" s="63">
        <v>1</v>
      </c>
      <c r="AA75" s="63">
        <v>1</v>
      </c>
      <c r="AB75" s="63">
        <v>1</v>
      </c>
    </row>
    <row r="76" spans="1:28" x14ac:dyDescent="0.25">
      <c r="A76" s="4" t="s">
        <v>29</v>
      </c>
      <c r="B76" s="4">
        <v>1</v>
      </c>
      <c r="C76" s="4">
        <v>1</v>
      </c>
      <c r="D76" s="4">
        <v>1</v>
      </c>
      <c r="E76" s="4">
        <v>1</v>
      </c>
      <c r="F76" s="4">
        <v>1</v>
      </c>
      <c r="G76" s="4">
        <v>1</v>
      </c>
      <c r="H76" s="4">
        <v>1</v>
      </c>
      <c r="I76" s="4">
        <v>1</v>
      </c>
      <c r="J76" s="4">
        <v>1</v>
      </c>
      <c r="K76" s="4">
        <v>1</v>
      </c>
      <c r="L76" s="4">
        <v>1</v>
      </c>
      <c r="M76" s="4">
        <v>1</v>
      </c>
      <c r="N76" s="4"/>
      <c r="O76" s="4"/>
      <c r="P76" s="4" t="s">
        <v>29</v>
      </c>
      <c r="Q76" s="63">
        <v>1</v>
      </c>
      <c r="R76" s="63">
        <v>1</v>
      </c>
      <c r="S76" s="63">
        <v>1</v>
      </c>
      <c r="T76" s="63">
        <v>1</v>
      </c>
      <c r="U76" s="63">
        <v>1</v>
      </c>
      <c r="V76" s="63">
        <v>1</v>
      </c>
      <c r="W76" s="63">
        <v>1</v>
      </c>
      <c r="X76" s="63">
        <v>1</v>
      </c>
      <c r="Y76" s="63">
        <v>1</v>
      </c>
      <c r="Z76" s="63">
        <v>1</v>
      </c>
      <c r="AA76" s="63">
        <v>1</v>
      </c>
      <c r="AB76" s="63">
        <v>1</v>
      </c>
    </row>
    <row r="77" spans="1:28" x14ac:dyDescent="0.25">
      <c r="A77" s="4" t="s">
        <v>30</v>
      </c>
      <c r="B77" s="4">
        <v>1</v>
      </c>
      <c r="C77" s="4">
        <v>1</v>
      </c>
      <c r="D77" s="4">
        <v>1</v>
      </c>
      <c r="E77" s="4">
        <v>1</v>
      </c>
      <c r="F77" s="4">
        <v>1</v>
      </c>
      <c r="G77" s="4">
        <v>1</v>
      </c>
      <c r="H77" s="4">
        <v>1</v>
      </c>
      <c r="I77" s="4">
        <v>1</v>
      </c>
      <c r="J77" s="4">
        <v>1</v>
      </c>
      <c r="K77" s="4">
        <v>1</v>
      </c>
      <c r="L77" s="4">
        <v>1</v>
      </c>
      <c r="M77" s="4">
        <v>1</v>
      </c>
      <c r="N77" s="4"/>
      <c r="O77" s="4"/>
      <c r="P77" s="4" t="s">
        <v>30</v>
      </c>
      <c r="Q77" s="63">
        <v>1</v>
      </c>
      <c r="R77" s="63">
        <v>1</v>
      </c>
      <c r="S77" s="63">
        <v>1</v>
      </c>
      <c r="T77" s="63">
        <v>1</v>
      </c>
      <c r="U77" s="63">
        <v>1</v>
      </c>
      <c r="V77" s="63">
        <v>1</v>
      </c>
      <c r="W77" s="63">
        <v>1</v>
      </c>
      <c r="X77" s="63">
        <v>1</v>
      </c>
      <c r="Y77" s="63">
        <v>1</v>
      </c>
      <c r="Z77" s="63">
        <v>1</v>
      </c>
      <c r="AA77" s="63">
        <v>1</v>
      </c>
      <c r="AB77" s="63">
        <v>1</v>
      </c>
    </row>
    <row r="78" spans="1:28" x14ac:dyDescent="0.25">
      <c r="A78" s="4" t="s">
        <v>31</v>
      </c>
      <c r="B78" s="4"/>
      <c r="C78" s="4"/>
      <c r="D78" s="4"/>
      <c r="E78" s="4">
        <v>1</v>
      </c>
      <c r="F78" s="4">
        <v>1</v>
      </c>
      <c r="G78" s="4">
        <v>1</v>
      </c>
      <c r="H78" s="4">
        <v>1</v>
      </c>
      <c r="I78" s="4">
        <v>1</v>
      </c>
      <c r="J78" s="4"/>
      <c r="K78" s="4"/>
      <c r="L78" s="4"/>
      <c r="M78" s="4"/>
      <c r="N78" s="4"/>
      <c r="O78" s="4"/>
      <c r="P78" s="4" t="s">
        <v>31</v>
      </c>
      <c r="Q78" s="63"/>
      <c r="R78" s="63"/>
      <c r="S78" s="63"/>
      <c r="T78" s="63">
        <v>0</v>
      </c>
      <c r="U78" s="63">
        <v>1</v>
      </c>
      <c r="V78" s="63">
        <v>1</v>
      </c>
      <c r="W78" s="63">
        <v>1</v>
      </c>
      <c r="X78" s="63">
        <v>1</v>
      </c>
      <c r="Y78" s="63"/>
      <c r="Z78" s="63"/>
      <c r="AA78" s="63"/>
      <c r="AB78" s="63"/>
    </row>
    <row r="79" spans="1:28" x14ac:dyDescent="0.25">
      <c r="A79" s="4" t="s">
        <v>32</v>
      </c>
      <c r="B79" s="4"/>
      <c r="C79" s="4"/>
      <c r="D79" s="4"/>
      <c r="E79" s="4"/>
      <c r="F79" s="4"/>
      <c r="G79" s="4"/>
      <c r="H79" s="4"/>
      <c r="I79" s="4"/>
      <c r="J79" s="4"/>
      <c r="K79" s="4"/>
      <c r="L79" s="4"/>
      <c r="M79" s="4"/>
      <c r="N79" s="4"/>
      <c r="O79" s="4"/>
      <c r="P79" s="4" t="s">
        <v>32</v>
      </c>
      <c r="Q79" s="63"/>
      <c r="R79" s="63"/>
      <c r="S79" s="63"/>
      <c r="T79" s="63"/>
      <c r="U79" s="63"/>
      <c r="V79" s="63"/>
      <c r="W79" s="63"/>
      <c r="X79" s="63"/>
      <c r="Y79" s="63"/>
      <c r="Z79" s="63"/>
      <c r="AA79" s="63"/>
      <c r="AB79" s="63"/>
    </row>
    <row r="80" spans="1:28" x14ac:dyDescent="0.25">
      <c r="A80" s="4" t="s">
        <v>33</v>
      </c>
      <c r="B80" s="4"/>
      <c r="C80" s="4"/>
      <c r="D80" s="4"/>
      <c r="E80" s="4"/>
      <c r="F80" s="4"/>
      <c r="G80" s="4"/>
      <c r="H80" s="4"/>
      <c r="I80" s="4"/>
      <c r="J80" s="4"/>
      <c r="K80" s="4"/>
      <c r="L80" s="4"/>
      <c r="M80" s="4"/>
      <c r="N80" s="4"/>
      <c r="O80" s="4"/>
      <c r="P80" s="4" t="s">
        <v>33</v>
      </c>
      <c r="Q80" s="63"/>
      <c r="R80" s="63"/>
      <c r="S80" s="63"/>
      <c r="T80" s="63"/>
      <c r="U80" s="63"/>
      <c r="V80" s="63"/>
      <c r="W80" s="63"/>
      <c r="X80" s="63"/>
      <c r="Y80" s="63"/>
      <c r="Z80" s="63"/>
      <c r="AA80" s="63"/>
      <c r="AB80" s="63"/>
    </row>
    <row r="81" spans="1:28" x14ac:dyDescent="0.25">
      <c r="A81" s="4" t="s">
        <v>34</v>
      </c>
      <c r="B81" s="4"/>
      <c r="C81" s="4"/>
      <c r="D81" s="4"/>
      <c r="E81" s="4"/>
      <c r="F81" s="4"/>
      <c r="G81" s="4"/>
      <c r="H81" s="4"/>
      <c r="I81" s="4"/>
      <c r="J81" s="4"/>
      <c r="K81" s="4"/>
      <c r="L81" s="4"/>
      <c r="M81" s="4"/>
      <c r="N81" s="4"/>
      <c r="O81" s="4"/>
      <c r="P81" s="4" t="s">
        <v>34</v>
      </c>
      <c r="Q81" s="63"/>
      <c r="R81" s="63"/>
      <c r="S81" s="63"/>
      <c r="T81" s="63"/>
      <c r="U81" s="63"/>
      <c r="V81" s="63"/>
      <c r="W81" s="63"/>
      <c r="X81" s="63"/>
      <c r="Y81" s="63"/>
      <c r="Z81" s="63"/>
      <c r="AA81" s="63"/>
      <c r="AB81" s="63"/>
    </row>
    <row r="82" spans="1:28" x14ac:dyDescent="0.25">
      <c r="A82" s="4" t="s">
        <v>35</v>
      </c>
      <c r="B82" s="4"/>
      <c r="C82" s="4"/>
      <c r="D82" s="4"/>
      <c r="E82" s="4"/>
      <c r="F82" s="4"/>
      <c r="G82" s="4"/>
      <c r="H82" s="4"/>
      <c r="I82" s="4"/>
      <c r="J82" s="4"/>
      <c r="K82" s="4"/>
      <c r="L82" s="4"/>
      <c r="M82" s="4"/>
      <c r="N82" s="4"/>
      <c r="O82" s="4"/>
      <c r="P82" s="4" t="s">
        <v>35</v>
      </c>
      <c r="Q82" s="63"/>
      <c r="R82" s="63"/>
      <c r="S82" s="63"/>
      <c r="T82" s="63"/>
      <c r="U82" s="63"/>
      <c r="V82" s="63"/>
      <c r="W82" s="63"/>
      <c r="X82" s="63"/>
      <c r="Y82" s="63"/>
      <c r="Z82" s="63"/>
      <c r="AA82" s="63"/>
      <c r="AB82" s="63"/>
    </row>
    <row r="83" spans="1:28" x14ac:dyDescent="0.25">
      <c r="A83" s="4" t="s">
        <v>36</v>
      </c>
      <c r="B83" s="4"/>
      <c r="C83" s="4"/>
      <c r="D83" s="4"/>
      <c r="E83" s="4"/>
      <c r="F83" s="4"/>
      <c r="G83" s="4"/>
      <c r="H83" s="4"/>
      <c r="I83" s="4"/>
      <c r="J83" s="4"/>
      <c r="K83" s="4"/>
      <c r="L83" s="4"/>
      <c r="M83" s="4"/>
      <c r="N83" s="4"/>
      <c r="O83" s="4"/>
      <c r="P83" s="4" t="s">
        <v>36</v>
      </c>
      <c r="Q83" s="63"/>
      <c r="R83" s="63"/>
      <c r="S83" s="63"/>
      <c r="T83" s="63"/>
      <c r="U83" s="63"/>
      <c r="V83" s="63"/>
      <c r="W83" s="63"/>
      <c r="X83" s="63"/>
      <c r="Y83" s="63"/>
      <c r="Z83" s="63"/>
      <c r="AA83" s="63"/>
      <c r="AB83" s="63"/>
    </row>
    <row r="84" spans="1:28"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row>
    <row r="85" spans="1:28"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row>
    <row r="86" spans="1:28" x14ac:dyDescent="0.25">
      <c r="A86" s="4" t="s">
        <v>106</v>
      </c>
      <c r="B86" s="4"/>
      <c r="C86" s="4"/>
      <c r="D86" s="4"/>
      <c r="E86" s="4"/>
      <c r="F86" s="4"/>
      <c r="G86" s="4"/>
      <c r="H86" s="4"/>
      <c r="I86" s="4"/>
      <c r="J86" s="4"/>
      <c r="K86" s="4"/>
      <c r="L86" s="4"/>
      <c r="M86" s="4"/>
      <c r="N86" s="4"/>
      <c r="O86" s="4"/>
      <c r="P86" s="4" t="s">
        <v>106</v>
      </c>
      <c r="Q86" s="4"/>
      <c r="R86" s="4"/>
      <c r="S86" s="4"/>
      <c r="T86" s="4"/>
      <c r="U86" s="4"/>
      <c r="V86" s="4"/>
      <c r="W86" s="4"/>
      <c r="X86" s="4"/>
      <c r="Y86" s="4"/>
      <c r="Z86" s="4"/>
      <c r="AA86" s="4"/>
      <c r="AB86" s="4"/>
    </row>
    <row r="87" spans="1:28" x14ac:dyDescent="0.25">
      <c r="A87" s="4"/>
      <c r="B87" s="4" t="s">
        <v>1</v>
      </c>
      <c r="C87" s="4" t="s">
        <v>2</v>
      </c>
      <c r="D87" s="4" t="s">
        <v>3</v>
      </c>
      <c r="E87" s="4" t="s">
        <v>4</v>
      </c>
      <c r="F87" s="4" t="s">
        <v>5</v>
      </c>
      <c r="G87" s="4" t="s">
        <v>6</v>
      </c>
      <c r="H87" s="4" t="s">
        <v>7</v>
      </c>
      <c r="I87" s="4" t="s">
        <v>8</v>
      </c>
      <c r="J87" s="4" t="s">
        <v>9</v>
      </c>
      <c r="K87" s="4" t="s">
        <v>10</v>
      </c>
      <c r="L87" s="4" t="s">
        <v>11</v>
      </c>
      <c r="M87" s="4" t="s">
        <v>12</v>
      </c>
      <c r="N87" s="4"/>
      <c r="O87" s="4"/>
      <c r="P87" s="4"/>
      <c r="Q87" s="4" t="s">
        <v>1</v>
      </c>
      <c r="R87" s="4" t="s">
        <v>2</v>
      </c>
      <c r="S87" s="4" t="s">
        <v>3</v>
      </c>
      <c r="T87" s="4" t="s">
        <v>4</v>
      </c>
      <c r="U87" s="4" t="s">
        <v>5</v>
      </c>
      <c r="V87" s="4" t="s">
        <v>6</v>
      </c>
      <c r="W87" s="4" t="s">
        <v>7</v>
      </c>
      <c r="X87" s="4" t="s">
        <v>8</v>
      </c>
      <c r="Y87" s="4" t="s">
        <v>9</v>
      </c>
      <c r="Z87" s="4" t="s">
        <v>10</v>
      </c>
      <c r="AA87" s="4" t="s">
        <v>11</v>
      </c>
      <c r="AB87" s="4" t="s">
        <v>12</v>
      </c>
    </row>
    <row r="88" spans="1:28" x14ac:dyDescent="0.25">
      <c r="A88" s="4" t="s">
        <v>13</v>
      </c>
      <c r="B88" s="4"/>
      <c r="C88" s="4"/>
      <c r="D88" s="4"/>
      <c r="E88" s="4"/>
      <c r="F88" s="4"/>
      <c r="G88" s="4"/>
      <c r="H88" s="4"/>
      <c r="I88" s="4"/>
      <c r="J88" s="4"/>
      <c r="K88" s="4"/>
      <c r="L88" s="4"/>
      <c r="M88" s="4"/>
      <c r="N88" s="4"/>
      <c r="O88" s="4"/>
      <c r="P88" s="4" t="s">
        <v>13</v>
      </c>
      <c r="Q88" s="4"/>
      <c r="R88" s="4"/>
      <c r="S88" s="4"/>
      <c r="T88" s="4"/>
      <c r="U88" s="4"/>
      <c r="V88" s="4"/>
      <c r="W88" s="4"/>
      <c r="X88" s="4"/>
      <c r="Y88" s="4"/>
      <c r="Z88" s="4"/>
      <c r="AA88" s="4"/>
      <c r="AB88" s="4"/>
    </row>
    <row r="89" spans="1:28" x14ac:dyDescent="0.25">
      <c r="A89" s="4" t="s">
        <v>14</v>
      </c>
      <c r="B89" s="4"/>
      <c r="C89" s="4"/>
      <c r="D89" s="4"/>
      <c r="E89" s="4"/>
      <c r="F89" s="4"/>
      <c r="G89" s="4"/>
      <c r="H89" s="4"/>
      <c r="I89" s="4"/>
      <c r="J89" s="4"/>
      <c r="K89" s="4"/>
      <c r="L89" s="4"/>
      <c r="M89" s="4"/>
      <c r="N89" s="4"/>
      <c r="O89" s="4"/>
      <c r="P89" s="4" t="s">
        <v>14</v>
      </c>
      <c r="Q89" s="63"/>
      <c r="R89" s="63"/>
      <c r="S89" s="63"/>
      <c r="T89" s="63"/>
      <c r="U89" s="63"/>
      <c r="V89" s="63"/>
      <c r="W89" s="63"/>
      <c r="X89" s="63"/>
      <c r="Y89" s="63"/>
      <c r="Z89" s="63"/>
      <c r="AA89" s="63"/>
      <c r="AB89" s="63"/>
    </row>
    <row r="90" spans="1:28" x14ac:dyDescent="0.25">
      <c r="A90" s="4" t="s">
        <v>15</v>
      </c>
      <c r="B90" s="4"/>
      <c r="C90" s="4"/>
      <c r="D90" s="4"/>
      <c r="E90" s="4"/>
      <c r="F90" s="4"/>
      <c r="G90" s="4"/>
      <c r="H90" s="4"/>
      <c r="I90" s="4"/>
      <c r="J90" s="4"/>
      <c r="K90" s="4"/>
      <c r="L90" s="4"/>
      <c r="M90" s="4"/>
      <c r="N90" s="4"/>
      <c r="O90" s="4"/>
      <c r="P90" s="4" t="s">
        <v>15</v>
      </c>
      <c r="Q90" s="63"/>
      <c r="R90" s="63"/>
      <c r="S90" s="63"/>
      <c r="T90" s="63"/>
      <c r="U90" s="63"/>
      <c r="V90" s="63"/>
      <c r="W90" s="63"/>
      <c r="X90" s="63"/>
      <c r="Y90" s="63"/>
      <c r="Z90" s="63"/>
      <c r="AA90" s="63"/>
      <c r="AB90" s="63"/>
    </row>
    <row r="91" spans="1:28" x14ac:dyDescent="0.25">
      <c r="A91" s="4" t="s">
        <v>16</v>
      </c>
      <c r="B91" s="4"/>
      <c r="C91" s="4"/>
      <c r="D91" s="4"/>
      <c r="E91" s="4"/>
      <c r="F91" s="4"/>
      <c r="G91" s="4"/>
      <c r="H91" s="4"/>
      <c r="I91" s="4"/>
      <c r="J91" s="4"/>
      <c r="K91" s="4"/>
      <c r="L91" s="4"/>
      <c r="M91" s="4"/>
      <c r="N91" s="4"/>
      <c r="O91" s="4"/>
      <c r="P91" s="4" t="s">
        <v>16</v>
      </c>
      <c r="Q91" s="63"/>
      <c r="R91" s="63"/>
      <c r="S91" s="63"/>
      <c r="T91" s="63"/>
      <c r="U91" s="63"/>
      <c r="V91" s="63"/>
      <c r="W91" s="63"/>
      <c r="X91" s="63"/>
      <c r="Y91" s="63"/>
      <c r="Z91" s="63"/>
      <c r="AA91" s="63"/>
      <c r="AB91" s="63"/>
    </row>
    <row r="92" spans="1:28" x14ac:dyDescent="0.25">
      <c r="A92" s="4" t="s">
        <v>17</v>
      </c>
      <c r="B92" s="4"/>
      <c r="C92" s="4"/>
      <c r="D92" s="4"/>
      <c r="E92" s="4"/>
      <c r="F92" s="4"/>
      <c r="G92" s="4"/>
      <c r="H92" s="4"/>
      <c r="I92" s="4"/>
      <c r="J92" s="4"/>
      <c r="K92" s="4"/>
      <c r="L92" s="4"/>
      <c r="M92" s="4"/>
      <c r="N92" s="4"/>
      <c r="O92" s="4"/>
      <c r="P92" s="4" t="s">
        <v>17</v>
      </c>
      <c r="Q92" s="63"/>
      <c r="R92" s="63"/>
      <c r="S92" s="63"/>
      <c r="T92" s="63"/>
      <c r="U92" s="63"/>
      <c r="V92" s="63"/>
      <c r="W92" s="63"/>
      <c r="X92" s="63"/>
      <c r="Y92" s="63"/>
      <c r="Z92" s="63"/>
      <c r="AA92" s="63"/>
      <c r="AB92" s="63"/>
    </row>
    <row r="93" spans="1:28" x14ac:dyDescent="0.25">
      <c r="A93" s="4" t="s">
        <v>18</v>
      </c>
      <c r="B93" s="4"/>
      <c r="C93" s="4"/>
      <c r="D93" s="4"/>
      <c r="E93" s="4"/>
      <c r="F93" s="4"/>
      <c r="G93" s="4"/>
      <c r="H93" s="4"/>
      <c r="I93" s="4"/>
      <c r="J93" s="4"/>
      <c r="K93" s="4"/>
      <c r="L93" s="4"/>
      <c r="M93" s="4"/>
      <c r="N93" s="4"/>
      <c r="O93" s="4"/>
      <c r="P93" s="4" t="s">
        <v>18</v>
      </c>
      <c r="Q93" s="63"/>
      <c r="R93" s="63"/>
      <c r="S93" s="63"/>
      <c r="T93" s="63"/>
      <c r="U93" s="63"/>
      <c r="V93" s="63"/>
      <c r="W93" s="63"/>
      <c r="X93" s="63"/>
      <c r="Y93" s="63"/>
      <c r="Z93" s="63"/>
      <c r="AA93" s="63"/>
      <c r="AB93" s="63"/>
    </row>
    <row r="94" spans="1:28" x14ac:dyDescent="0.25">
      <c r="A94" s="4" t="s">
        <v>19</v>
      </c>
      <c r="B94" s="4"/>
      <c r="C94" s="4"/>
      <c r="D94" s="4"/>
      <c r="E94" s="4">
        <v>0</v>
      </c>
      <c r="F94" s="4">
        <v>0</v>
      </c>
      <c r="G94" s="4">
        <v>0</v>
      </c>
      <c r="H94" s="4">
        <v>0</v>
      </c>
      <c r="I94" s="4">
        <v>0</v>
      </c>
      <c r="J94" s="4"/>
      <c r="K94" s="4"/>
      <c r="L94" s="4"/>
      <c r="M94" s="4"/>
      <c r="N94" s="4"/>
      <c r="O94" s="4"/>
      <c r="P94" s="4" t="s">
        <v>19</v>
      </c>
      <c r="Q94" s="63"/>
      <c r="R94" s="63"/>
      <c r="S94" s="63"/>
      <c r="T94" s="63">
        <v>0</v>
      </c>
      <c r="U94" s="63">
        <v>0</v>
      </c>
      <c r="V94" s="63">
        <v>0</v>
      </c>
      <c r="W94" s="63">
        <v>0</v>
      </c>
      <c r="X94" s="63">
        <v>0</v>
      </c>
      <c r="Y94" s="63"/>
      <c r="Z94" s="63"/>
      <c r="AA94" s="63"/>
      <c r="AB94" s="63"/>
    </row>
    <row r="95" spans="1:28" x14ac:dyDescent="0.25">
      <c r="A95" s="4" t="s">
        <v>20</v>
      </c>
      <c r="B95" s="4">
        <v>0</v>
      </c>
      <c r="C95" s="4">
        <v>0</v>
      </c>
      <c r="D95" s="4">
        <v>0</v>
      </c>
      <c r="E95" s="4">
        <v>0</v>
      </c>
      <c r="F95" s="4">
        <v>0</v>
      </c>
      <c r="G95" s="4">
        <v>0</v>
      </c>
      <c r="H95" s="4">
        <v>0</v>
      </c>
      <c r="I95" s="4">
        <v>0</v>
      </c>
      <c r="J95" s="4">
        <v>0</v>
      </c>
      <c r="K95" s="4">
        <v>0</v>
      </c>
      <c r="L95" s="4">
        <v>0</v>
      </c>
      <c r="M95" s="4">
        <v>0</v>
      </c>
      <c r="N95" s="4"/>
      <c r="O95" s="4"/>
      <c r="P95" s="4" t="s">
        <v>20</v>
      </c>
      <c r="Q95" s="63">
        <v>0</v>
      </c>
      <c r="R95" s="63">
        <v>0</v>
      </c>
      <c r="S95" s="63">
        <v>0</v>
      </c>
      <c r="T95" s="63">
        <v>0</v>
      </c>
      <c r="U95" s="63">
        <v>0</v>
      </c>
      <c r="V95" s="63">
        <v>0</v>
      </c>
      <c r="W95" s="63">
        <v>0</v>
      </c>
      <c r="X95" s="63">
        <v>0</v>
      </c>
      <c r="Y95" s="63">
        <v>0</v>
      </c>
      <c r="Z95" s="63">
        <v>0</v>
      </c>
      <c r="AA95" s="63">
        <v>0</v>
      </c>
      <c r="AB95" s="63">
        <v>0</v>
      </c>
    </row>
    <row r="96" spans="1:28" x14ac:dyDescent="0.25">
      <c r="A96" s="4" t="s">
        <v>21</v>
      </c>
      <c r="B96" s="4">
        <v>0</v>
      </c>
      <c r="C96" s="4">
        <v>0</v>
      </c>
      <c r="D96" s="4">
        <v>0</v>
      </c>
      <c r="E96" s="4">
        <v>0</v>
      </c>
      <c r="F96" s="4">
        <v>0</v>
      </c>
      <c r="G96" s="4">
        <v>0</v>
      </c>
      <c r="H96" s="4">
        <v>0</v>
      </c>
      <c r="I96" s="4">
        <v>0</v>
      </c>
      <c r="J96" s="4">
        <v>0</v>
      </c>
      <c r="K96" s="4">
        <v>0</v>
      </c>
      <c r="L96" s="4">
        <v>0</v>
      </c>
      <c r="M96" s="4">
        <v>0</v>
      </c>
      <c r="N96" s="4"/>
      <c r="O96" s="4"/>
      <c r="P96" s="4" t="s">
        <v>21</v>
      </c>
      <c r="Q96" s="63">
        <v>0</v>
      </c>
      <c r="R96" s="63">
        <v>0</v>
      </c>
      <c r="S96" s="63">
        <v>0</v>
      </c>
      <c r="T96" s="63">
        <v>0</v>
      </c>
      <c r="U96" s="63">
        <v>0</v>
      </c>
      <c r="V96" s="63">
        <v>0</v>
      </c>
      <c r="W96" s="63">
        <v>0</v>
      </c>
      <c r="X96" s="63">
        <v>0</v>
      </c>
      <c r="Y96" s="63">
        <v>0</v>
      </c>
      <c r="Z96" s="63">
        <v>0</v>
      </c>
      <c r="AA96" s="63">
        <v>0</v>
      </c>
      <c r="AB96" s="63">
        <v>0</v>
      </c>
    </row>
    <row r="97" spans="1:28" x14ac:dyDescent="0.25">
      <c r="A97" s="4" t="s">
        <v>22</v>
      </c>
      <c r="B97" s="4">
        <v>0</v>
      </c>
      <c r="C97" s="4">
        <v>0</v>
      </c>
      <c r="D97" s="4">
        <v>0</v>
      </c>
      <c r="E97" s="4">
        <v>0</v>
      </c>
      <c r="F97" s="4">
        <v>0</v>
      </c>
      <c r="G97" s="4">
        <v>0</v>
      </c>
      <c r="H97" s="4">
        <v>0</v>
      </c>
      <c r="I97" s="4">
        <v>0</v>
      </c>
      <c r="J97" s="4">
        <v>0</v>
      </c>
      <c r="K97" s="4">
        <v>0</v>
      </c>
      <c r="L97" s="4">
        <v>0</v>
      </c>
      <c r="M97" s="4">
        <v>0</v>
      </c>
      <c r="N97" s="4"/>
      <c r="O97" s="4"/>
      <c r="P97" s="4" t="s">
        <v>22</v>
      </c>
      <c r="Q97" s="63">
        <v>0</v>
      </c>
      <c r="R97" s="63">
        <v>0</v>
      </c>
      <c r="S97" s="63">
        <v>0</v>
      </c>
      <c r="T97" s="63">
        <v>0</v>
      </c>
      <c r="U97" s="63">
        <v>0</v>
      </c>
      <c r="V97" s="63">
        <v>0</v>
      </c>
      <c r="W97" s="63">
        <v>0</v>
      </c>
      <c r="X97" s="63">
        <v>0</v>
      </c>
      <c r="Y97" s="63">
        <v>0</v>
      </c>
      <c r="Z97" s="63">
        <v>0</v>
      </c>
      <c r="AA97" s="63">
        <v>0</v>
      </c>
      <c r="AB97" s="63">
        <v>0</v>
      </c>
    </row>
    <row r="98" spans="1:28" x14ac:dyDescent="0.25">
      <c r="A98" s="4" t="s">
        <v>23</v>
      </c>
      <c r="B98" s="4">
        <v>0</v>
      </c>
      <c r="C98" s="4">
        <v>0</v>
      </c>
      <c r="D98" s="4">
        <v>0</v>
      </c>
      <c r="E98" s="4">
        <v>0</v>
      </c>
      <c r="F98" s="4">
        <v>0</v>
      </c>
      <c r="G98" s="4">
        <v>0</v>
      </c>
      <c r="H98" s="4">
        <v>0</v>
      </c>
      <c r="I98" s="4">
        <v>0</v>
      </c>
      <c r="J98" s="4">
        <v>0</v>
      </c>
      <c r="K98" s="4">
        <v>0</v>
      </c>
      <c r="L98" s="4">
        <v>0</v>
      </c>
      <c r="M98" s="4">
        <v>0</v>
      </c>
      <c r="N98" s="4"/>
      <c r="O98" s="4"/>
      <c r="P98" s="4" t="s">
        <v>23</v>
      </c>
      <c r="Q98" s="63">
        <v>0</v>
      </c>
      <c r="R98" s="63">
        <v>0</v>
      </c>
      <c r="S98" s="63">
        <v>0</v>
      </c>
      <c r="T98" s="63">
        <v>0</v>
      </c>
      <c r="U98" s="63">
        <v>0</v>
      </c>
      <c r="V98" s="63">
        <v>0</v>
      </c>
      <c r="W98" s="63">
        <v>0</v>
      </c>
      <c r="X98" s="63">
        <v>0</v>
      </c>
      <c r="Y98" s="63">
        <v>0</v>
      </c>
      <c r="Z98" s="63">
        <v>0</v>
      </c>
      <c r="AA98" s="63">
        <v>0</v>
      </c>
      <c r="AB98" s="63">
        <v>0</v>
      </c>
    </row>
    <row r="99" spans="1:28" x14ac:dyDescent="0.25">
      <c r="A99" s="4" t="s">
        <v>24</v>
      </c>
      <c r="B99" s="4">
        <v>0</v>
      </c>
      <c r="C99" s="4">
        <v>0</v>
      </c>
      <c r="D99" s="4">
        <v>0</v>
      </c>
      <c r="E99" s="4">
        <v>0</v>
      </c>
      <c r="F99" s="4">
        <v>0</v>
      </c>
      <c r="G99" s="4">
        <v>0</v>
      </c>
      <c r="H99" s="4">
        <v>0</v>
      </c>
      <c r="I99" s="4">
        <v>0</v>
      </c>
      <c r="J99" s="4">
        <v>0</v>
      </c>
      <c r="K99" s="4">
        <v>0</v>
      </c>
      <c r="L99" s="4">
        <v>0</v>
      </c>
      <c r="M99" s="4">
        <v>0</v>
      </c>
      <c r="N99" s="4"/>
      <c r="O99" s="4"/>
      <c r="P99" s="4" t="s">
        <v>24</v>
      </c>
      <c r="Q99" s="63">
        <v>0</v>
      </c>
      <c r="R99" s="63">
        <v>0</v>
      </c>
      <c r="S99" s="63">
        <v>0</v>
      </c>
      <c r="T99" s="63">
        <v>0</v>
      </c>
      <c r="U99" s="63">
        <v>0</v>
      </c>
      <c r="V99" s="63">
        <v>0</v>
      </c>
      <c r="W99" s="63">
        <v>0</v>
      </c>
      <c r="X99" s="63">
        <v>0</v>
      </c>
      <c r="Y99" s="63">
        <v>0</v>
      </c>
      <c r="Z99" s="63">
        <v>0</v>
      </c>
      <c r="AA99" s="63">
        <v>0</v>
      </c>
      <c r="AB99" s="63">
        <v>0</v>
      </c>
    </row>
    <row r="100" spans="1:28" x14ac:dyDescent="0.25">
      <c r="A100" s="4" t="s">
        <v>25</v>
      </c>
      <c r="B100" s="4">
        <v>0</v>
      </c>
      <c r="C100" s="4">
        <v>0</v>
      </c>
      <c r="D100" s="4">
        <v>0</v>
      </c>
      <c r="E100" s="4">
        <v>0</v>
      </c>
      <c r="F100" s="4">
        <v>0</v>
      </c>
      <c r="G100" s="4">
        <v>0</v>
      </c>
      <c r="H100" s="4">
        <v>0</v>
      </c>
      <c r="I100" s="4">
        <v>0</v>
      </c>
      <c r="J100" s="4">
        <v>0</v>
      </c>
      <c r="K100" s="4">
        <v>0</v>
      </c>
      <c r="L100" s="4">
        <v>0</v>
      </c>
      <c r="M100" s="4">
        <v>0</v>
      </c>
      <c r="N100" s="4"/>
      <c r="O100" s="4"/>
      <c r="P100" s="4" t="s">
        <v>25</v>
      </c>
      <c r="Q100" s="63">
        <v>0</v>
      </c>
      <c r="R100" s="63">
        <v>0</v>
      </c>
      <c r="S100" s="63">
        <v>0</v>
      </c>
      <c r="T100" s="63">
        <v>0</v>
      </c>
      <c r="U100" s="63">
        <v>0</v>
      </c>
      <c r="V100" s="63">
        <v>0</v>
      </c>
      <c r="W100" s="63">
        <v>0</v>
      </c>
      <c r="X100" s="63">
        <v>0</v>
      </c>
      <c r="Y100" s="63">
        <v>0</v>
      </c>
      <c r="Z100" s="63">
        <v>0</v>
      </c>
      <c r="AA100" s="63">
        <v>0</v>
      </c>
      <c r="AB100" s="63">
        <v>0</v>
      </c>
    </row>
    <row r="101" spans="1:28" x14ac:dyDescent="0.25">
      <c r="A101" s="4" t="s">
        <v>26</v>
      </c>
      <c r="B101" s="4">
        <v>0</v>
      </c>
      <c r="C101" s="4">
        <v>0</v>
      </c>
      <c r="D101" s="4">
        <v>0</v>
      </c>
      <c r="E101" s="4">
        <v>0</v>
      </c>
      <c r="F101" s="4">
        <v>0</v>
      </c>
      <c r="G101" s="4">
        <v>0</v>
      </c>
      <c r="H101" s="4">
        <v>0</v>
      </c>
      <c r="I101" s="4">
        <v>0</v>
      </c>
      <c r="J101" s="4">
        <v>0</v>
      </c>
      <c r="K101" s="4">
        <v>0</v>
      </c>
      <c r="L101" s="4">
        <v>0</v>
      </c>
      <c r="M101" s="4">
        <v>0</v>
      </c>
      <c r="N101" s="4"/>
      <c r="O101" s="4"/>
      <c r="P101" s="4" t="s">
        <v>26</v>
      </c>
      <c r="Q101" s="63">
        <v>0</v>
      </c>
      <c r="R101" s="63">
        <v>0</v>
      </c>
      <c r="S101" s="63">
        <v>0</v>
      </c>
      <c r="T101" s="63">
        <v>0</v>
      </c>
      <c r="U101" s="63">
        <v>0</v>
      </c>
      <c r="V101" s="63">
        <v>0</v>
      </c>
      <c r="W101" s="63">
        <v>0</v>
      </c>
      <c r="X101" s="63">
        <v>0</v>
      </c>
      <c r="Y101" s="63">
        <v>0</v>
      </c>
      <c r="Z101" s="63">
        <v>0</v>
      </c>
      <c r="AA101" s="63">
        <v>0</v>
      </c>
      <c r="AB101" s="63">
        <v>0</v>
      </c>
    </row>
    <row r="102" spans="1:28" x14ac:dyDescent="0.25">
      <c r="A102" s="4" t="s">
        <v>27</v>
      </c>
      <c r="B102" s="4">
        <v>0</v>
      </c>
      <c r="C102" s="4">
        <v>0</v>
      </c>
      <c r="D102" s="4">
        <v>0</v>
      </c>
      <c r="E102" s="4">
        <v>0</v>
      </c>
      <c r="F102" s="4">
        <v>0</v>
      </c>
      <c r="G102" s="4">
        <v>0</v>
      </c>
      <c r="H102" s="4">
        <v>0</v>
      </c>
      <c r="I102" s="4">
        <v>0</v>
      </c>
      <c r="J102" s="4">
        <v>0</v>
      </c>
      <c r="K102" s="4">
        <v>0</v>
      </c>
      <c r="L102" s="4">
        <v>0</v>
      </c>
      <c r="M102" s="4">
        <v>0</v>
      </c>
      <c r="N102" s="4"/>
      <c r="O102" s="4"/>
      <c r="P102" s="4" t="s">
        <v>27</v>
      </c>
      <c r="Q102" s="63">
        <v>0</v>
      </c>
      <c r="R102" s="63">
        <v>0</v>
      </c>
      <c r="S102" s="63">
        <v>0</v>
      </c>
      <c r="T102" s="63">
        <v>0</v>
      </c>
      <c r="U102" s="63">
        <v>0</v>
      </c>
      <c r="V102" s="63">
        <v>0</v>
      </c>
      <c r="W102" s="63">
        <v>0</v>
      </c>
      <c r="X102" s="63">
        <v>0</v>
      </c>
      <c r="Y102" s="63">
        <v>0</v>
      </c>
      <c r="Z102" s="63">
        <v>0</v>
      </c>
      <c r="AA102" s="63">
        <v>0</v>
      </c>
      <c r="AB102" s="63">
        <v>0</v>
      </c>
    </row>
    <row r="103" spans="1:28" x14ac:dyDescent="0.25">
      <c r="A103" s="4" t="s">
        <v>28</v>
      </c>
      <c r="B103" s="4">
        <v>0</v>
      </c>
      <c r="C103" s="4">
        <v>0</v>
      </c>
      <c r="D103" s="4">
        <v>0</v>
      </c>
      <c r="E103" s="4">
        <v>0</v>
      </c>
      <c r="F103" s="4">
        <v>0</v>
      </c>
      <c r="G103" s="4">
        <v>0</v>
      </c>
      <c r="H103" s="4">
        <v>0</v>
      </c>
      <c r="I103" s="4">
        <v>0</v>
      </c>
      <c r="J103" s="4">
        <v>0</v>
      </c>
      <c r="K103" s="4">
        <v>0</v>
      </c>
      <c r="L103" s="4">
        <v>0</v>
      </c>
      <c r="M103" s="4">
        <v>0</v>
      </c>
      <c r="N103" s="4"/>
      <c r="O103" s="4"/>
      <c r="P103" s="4" t="s">
        <v>28</v>
      </c>
      <c r="Q103" s="63">
        <v>0</v>
      </c>
      <c r="R103" s="63">
        <v>0</v>
      </c>
      <c r="S103" s="63">
        <v>0</v>
      </c>
      <c r="T103" s="63">
        <v>0</v>
      </c>
      <c r="U103" s="63">
        <v>0</v>
      </c>
      <c r="V103" s="63">
        <v>0</v>
      </c>
      <c r="W103" s="63">
        <v>0</v>
      </c>
      <c r="X103" s="63">
        <v>0</v>
      </c>
      <c r="Y103" s="63">
        <v>0</v>
      </c>
      <c r="Z103" s="63">
        <v>0</v>
      </c>
      <c r="AA103" s="63">
        <v>0</v>
      </c>
      <c r="AB103" s="63">
        <v>0</v>
      </c>
    </row>
    <row r="104" spans="1:28" x14ac:dyDescent="0.25">
      <c r="A104" s="4" t="s">
        <v>29</v>
      </c>
      <c r="B104" s="4">
        <v>0</v>
      </c>
      <c r="C104" s="4">
        <v>0</v>
      </c>
      <c r="D104" s="4">
        <v>0</v>
      </c>
      <c r="E104" s="4">
        <v>0</v>
      </c>
      <c r="F104" s="4">
        <v>0</v>
      </c>
      <c r="G104" s="4">
        <v>0</v>
      </c>
      <c r="H104" s="4">
        <v>0</v>
      </c>
      <c r="I104" s="4">
        <v>0</v>
      </c>
      <c r="J104" s="4">
        <v>0</v>
      </c>
      <c r="K104" s="4">
        <v>0</v>
      </c>
      <c r="L104" s="4">
        <v>0</v>
      </c>
      <c r="M104" s="4">
        <v>0</v>
      </c>
      <c r="N104" s="4"/>
      <c r="O104" s="4"/>
      <c r="P104" s="4" t="s">
        <v>29</v>
      </c>
      <c r="Q104" s="63">
        <v>0</v>
      </c>
      <c r="R104" s="63">
        <v>0</v>
      </c>
      <c r="S104" s="63">
        <v>0</v>
      </c>
      <c r="T104" s="63">
        <v>0</v>
      </c>
      <c r="U104" s="63">
        <v>0</v>
      </c>
      <c r="V104" s="63">
        <v>0</v>
      </c>
      <c r="W104" s="63">
        <v>0</v>
      </c>
      <c r="X104" s="63">
        <v>0</v>
      </c>
      <c r="Y104" s="63">
        <v>0</v>
      </c>
      <c r="Z104" s="63">
        <v>0</v>
      </c>
      <c r="AA104" s="63">
        <v>0</v>
      </c>
      <c r="AB104" s="63">
        <v>0</v>
      </c>
    </row>
    <row r="105" spans="1:28" x14ac:dyDescent="0.25">
      <c r="A105" s="4" t="s">
        <v>30</v>
      </c>
      <c r="B105" s="4">
        <v>0</v>
      </c>
      <c r="C105" s="4">
        <v>0</v>
      </c>
      <c r="D105" s="4">
        <v>0</v>
      </c>
      <c r="E105" s="4">
        <v>0</v>
      </c>
      <c r="F105" s="4">
        <v>0</v>
      </c>
      <c r="G105" s="4">
        <v>0</v>
      </c>
      <c r="H105" s="4">
        <v>0</v>
      </c>
      <c r="I105" s="4">
        <v>0</v>
      </c>
      <c r="J105" s="4">
        <v>0</v>
      </c>
      <c r="K105" s="4">
        <v>0</v>
      </c>
      <c r="L105" s="4">
        <v>0</v>
      </c>
      <c r="M105" s="4">
        <v>0</v>
      </c>
      <c r="N105" s="4"/>
      <c r="O105" s="4"/>
      <c r="P105" s="4" t="s">
        <v>30</v>
      </c>
      <c r="Q105" s="63">
        <v>0</v>
      </c>
      <c r="R105" s="63">
        <v>0</v>
      </c>
      <c r="S105" s="63">
        <v>0</v>
      </c>
      <c r="T105" s="63">
        <v>0</v>
      </c>
      <c r="U105" s="63">
        <v>0</v>
      </c>
      <c r="V105" s="63">
        <v>0</v>
      </c>
      <c r="W105" s="63">
        <v>0</v>
      </c>
      <c r="X105" s="63">
        <v>0</v>
      </c>
      <c r="Y105" s="63">
        <v>0</v>
      </c>
      <c r="Z105" s="63">
        <v>0</v>
      </c>
      <c r="AA105" s="63">
        <v>0</v>
      </c>
      <c r="AB105" s="63">
        <v>0</v>
      </c>
    </row>
    <row r="106" spans="1:28" x14ac:dyDescent="0.25">
      <c r="A106" s="4" t="s">
        <v>31</v>
      </c>
      <c r="B106" s="4"/>
      <c r="C106" s="4"/>
      <c r="D106" s="4"/>
      <c r="E106" s="4">
        <v>0</v>
      </c>
      <c r="F106" s="4">
        <v>0</v>
      </c>
      <c r="G106" s="4">
        <v>0</v>
      </c>
      <c r="H106" s="4">
        <v>0</v>
      </c>
      <c r="I106" s="4">
        <v>0</v>
      </c>
      <c r="J106" s="4"/>
      <c r="K106" s="4"/>
      <c r="L106" s="4"/>
      <c r="M106" s="4"/>
      <c r="N106" s="4"/>
      <c r="O106" s="4"/>
      <c r="P106" s="4" t="s">
        <v>31</v>
      </c>
      <c r="Q106" s="63"/>
      <c r="R106" s="63"/>
      <c r="S106" s="63"/>
      <c r="T106" s="63">
        <v>0</v>
      </c>
      <c r="U106" s="63">
        <v>0</v>
      </c>
      <c r="V106" s="63">
        <v>0</v>
      </c>
      <c r="W106" s="63">
        <v>0</v>
      </c>
      <c r="X106" s="63">
        <v>0</v>
      </c>
      <c r="Y106" s="63"/>
      <c r="Z106" s="63"/>
      <c r="AA106" s="63"/>
      <c r="AB106" s="63"/>
    </row>
    <row r="107" spans="1:28" x14ac:dyDescent="0.25">
      <c r="A107" s="4" t="s">
        <v>32</v>
      </c>
      <c r="B107" s="4"/>
      <c r="C107" s="4"/>
      <c r="D107" s="4"/>
      <c r="E107" s="4"/>
      <c r="F107" s="4"/>
      <c r="G107" s="4"/>
      <c r="H107" s="4"/>
      <c r="I107" s="4"/>
      <c r="J107" s="4"/>
      <c r="K107" s="4"/>
      <c r="L107" s="4"/>
      <c r="M107" s="4"/>
      <c r="N107" s="4"/>
      <c r="O107" s="4"/>
      <c r="P107" s="4" t="s">
        <v>32</v>
      </c>
      <c r="Q107" s="63"/>
      <c r="R107" s="63"/>
      <c r="S107" s="63"/>
      <c r="T107" s="63"/>
      <c r="U107" s="63"/>
      <c r="V107" s="63"/>
      <c r="W107" s="63"/>
      <c r="X107" s="63"/>
      <c r="Y107" s="63"/>
      <c r="Z107" s="63"/>
      <c r="AA107" s="63"/>
      <c r="AB107" s="63"/>
    </row>
    <row r="108" spans="1:28" x14ac:dyDescent="0.25">
      <c r="A108" s="4" t="s">
        <v>33</v>
      </c>
      <c r="B108" s="4"/>
      <c r="C108" s="4"/>
      <c r="D108" s="4"/>
      <c r="E108" s="4"/>
      <c r="F108" s="4"/>
      <c r="G108" s="4"/>
      <c r="H108" s="4"/>
      <c r="I108" s="4"/>
      <c r="J108" s="4"/>
      <c r="K108" s="4"/>
      <c r="L108" s="4"/>
      <c r="M108" s="4"/>
      <c r="N108" s="4"/>
      <c r="O108" s="4"/>
      <c r="P108" s="4" t="s">
        <v>33</v>
      </c>
      <c r="Q108" s="63"/>
      <c r="R108" s="63"/>
      <c r="S108" s="63"/>
      <c r="T108" s="63"/>
      <c r="U108" s="63"/>
      <c r="V108" s="63"/>
      <c r="W108" s="63"/>
      <c r="X108" s="63"/>
      <c r="Y108" s="63"/>
      <c r="Z108" s="63"/>
      <c r="AA108" s="63"/>
      <c r="AB108" s="63"/>
    </row>
    <row r="109" spans="1:28" x14ac:dyDescent="0.25">
      <c r="A109" s="4" t="s">
        <v>34</v>
      </c>
      <c r="B109" s="4"/>
      <c r="C109" s="4"/>
      <c r="D109" s="4"/>
      <c r="E109" s="4"/>
      <c r="F109" s="4"/>
      <c r="G109" s="4"/>
      <c r="H109" s="4"/>
      <c r="I109" s="4"/>
      <c r="J109" s="4"/>
      <c r="K109" s="4"/>
      <c r="L109" s="4"/>
      <c r="M109" s="4"/>
      <c r="N109" s="4"/>
      <c r="O109" s="4"/>
      <c r="P109" s="4" t="s">
        <v>34</v>
      </c>
      <c r="Q109" s="63"/>
      <c r="R109" s="63"/>
      <c r="S109" s="63"/>
      <c r="T109" s="63"/>
      <c r="U109" s="63"/>
      <c r="V109" s="63"/>
      <c r="W109" s="63"/>
      <c r="X109" s="63"/>
      <c r="Y109" s="63"/>
      <c r="Z109" s="63"/>
      <c r="AA109" s="63"/>
      <c r="AB109" s="63"/>
    </row>
    <row r="110" spans="1:28" x14ac:dyDescent="0.25">
      <c r="A110" s="4" t="s">
        <v>35</v>
      </c>
      <c r="B110" s="4"/>
      <c r="C110" s="4"/>
      <c r="D110" s="4"/>
      <c r="E110" s="4"/>
      <c r="F110" s="4"/>
      <c r="G110" s="4"/>
      <c r="H110" s="4"/>
      <c r="I110" s="4"/>
      <c r="J110" s="4"/>
      <c r="K110" s="4"/>
      <c r="L110" s="4"/>
      <c r="M110" s="4"/>
      <c r="N110" s="4"/>
      <c r="O110" s="4"/>
      <c r="P110" s="4" t="s">
        <v>35</v>
      </c>
      <c r="Q110" s="63"/>
      <c r="R110" s="63"/>
      <c r="S110" s="63"/>
      <c r="T110" s="63"/>
      <c r="U110" s="63"/>
      <c r="V110" s="63"/>
      <c r="W110" s="63"/>
      <c r="X110" s="63"/>
      <c r="Y110" s="63"/>
      <c r="Z110" s="63"/>
      <c r="AA110" s="63"/>
      <c r="AB110" s="63"/>
    </row>
    <row r="111" spans="1:28" x14ac:dyDescent="0.25">
      <c r="A111" s="4" t="s">
        <v>36</v>
      </c>
      <c r="B111" s="4"/>
      <c r="C111" s="4"/>
      <c r="D111" s="4"/>
      <c r="E111" s="4"/>
      <c r="F111" s="4"/>
      <c r="G111" s="4"/>
      <c r="H111" s="4"/>
      <c r="I111" s="4"/>
      <c r="J111" s="4"/>
      <c r="K111" s="4"/>
      <c r="L111" s="4"/>
      <c r="M111" s="4"/>
      <c r="N111" s="4"/>
      <c r="O111" s="4"/>
      <c r="P111" s="4" t="s">
        <v>36</v>
      </c>
      <c r="Q111" s="63"/>
      <c r="R111" s="63"/>
      <c r="S111" s="63"/>
      <c r="T111" s="63"/>
      <c r="U111" s="63"/>
      <c r="V111" s="63"/>
      <c r="W111" s="63"/>
      <c r="X111" s="63"/>
      <c r="Y111" s="63"/>
      <c r="Z111" s="63"/>
      <c r="AA111" s="63"/>
      <c r="AB111" s="6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4"/>
  <sheetViews>
    <sheetView topLeftCell="A58" zoomScale="85" zoomScaleNormal="85" workbookViewId="0">
      <selection activeCell="D49" sqref="D49"/>
    </sheetView>
  </sheetViews>
  <sheetFormatPr defaultRowHeight="15" x14ac:dyDescent="0.25"/>
  <cols>
    <col min="2" max="13" width="9.140625" style="60"/>
    <col min="16" max="28" width="9.140625" style="4"/>
  </cols>
  <sheetData>
    <row r="1" spans="1:28" x14ac:dyDescent="0.25">
      <c r="A1" s="4" t="s">
        <v>90</v>
      </c>
      <c r="P1" s="4" t="s">
        <v>90</v>
      </c>
    </row>
    <row r="3" spans="1:28" x14ac:dyDescent="0.25">
      <c r="A3" s="4"/>
      <c r="B3" s="60" t="s">
        <v>1</v>
      </c>
      <c r="C3" s="60" t="s">
        <v>2</v>
      </c>
      <c r="D3" s="60" t="s">
        <v>3</v>
      </c>
      <c r="E3" s="60" t="s">
        <v>4</v>
      </c>
      <c r="F3" s="60" t="s">
        <v>5</v>
      </c>
      <c r="G3" s="60" t="s">
        <v>6</v>
      </c>
      <c r="H3" s="60" t="s">
        <v>7</v>
      </c>
      <c r="I3" s="60" t="s">
        <v>8</v>
      </c>
      <c r="J3" s="60" t="s">
        <v>9</v>
      </c>
      <c r="K3" s="60" t="s">
        <v>10</v>
      </c>
      <c r="L3" s="60" t="s">
        <v>11</v>
      </c>
      <c r="M3" s="60" t="s">
        <v>12</v>
      </c>
      <c r="Q3" s="4" t="s">
        <v>1</v>
      </c>
      <c r="R3" s="4" t="s">
        <v>2</v>
      </c>
      <c r="S3" s="4" t="s">
        <v>3</v>
      </c>
      <c r="T3" s="4" t="s">
        <v>4</v>
      </c>
      <c r="U3" s="4" t="s">
        <v>5</v>
      </c>
      <c r="V3" s="4" t="s">
        <v>6</v>
      </c>
      <c r="W3" s="4" t="s">
        <v>7</v>
      </c>
      <c r="X3" s="4" t="s">
        <v>8</v>
      </c>
      <c r="Y3" s="4" t="s">
        <v>9</v>
      </c>
      <c r="Z3" s="4" t="s">
        <v>10</v>
      </c>
      <c r="AA3" s="4" t="s">
        <v>11</v>
      </c>
      <c r="AB3" s="4" t="s">
        <v>12</v>
      </c>
    </row>
    <row r="4" spans="1:28" x14ac:dyDescent="0.25">
      <c r="A4" s="4" t="s">
        <v>13</v>
      </c>
      <c r="B4" s="60">
        <v>0</v>
      </c>
      <c r="C4" s="60">
        <v>0</v>
      </c>
      <c r="D4" s="60">
        <v>0</v>
      </c>
      <c r="E4" s="60">
        <v>0</v>
      </c>
      <c r="F4" s="60">
        <v>0</v>
      </c>
      <c r="G4" s="60">
        <v>0</v>
      </c>
      <c r="H4" s="60">
        <v>0</v>
      </c>
      <c r="I4" s="60">
        <v>0</v>
      </c>
      <c r="J4" s="60">
        <v>0</v>
      </c>
      <c r="K4" s="60">
        <v>0</v>
      </c>
      <c r="L4" s="60">
        <v>0</v>
      </c>
      <c r="M4" s="60">
        <v>0</v>
      </c>
      <c r="P4" s="4" t="s">
        <v>13</v>
      </c>
      <c r="Q4" s="4">
        <v>0</v>
      </c>
      <c r="R4" s="4">
        <v>0</v>
      </c>
      <c r="S4" s="4">
        <v>0</v>
      </c>
      <c r="T4" s="4">
        <v>0</v>
      </c>
      <c r="U4" s="4">
        <v>0</v>
      </c>
      <c r="V4" s="4">
        <v>0</v>
      </c>
      <c r="W4" s="4">
        <v>0</v>
      </c>
      <c r="X4" s="4">
        <v>0</v>
      </c>
      <c r="Y4" s="4">
        <v>0</v>
      </c>
      <c r="Z4" s="4">
        <v>0</v>
      </c>
      <c r="AA4" s="4">
        <v>0</v>
      </c>
      <c r="AB4" s="4">
        <v>0</v>
      </c>
    </row>
    <row r="5" spans="1:28" x14ac:dyDescent="0.25">
      <c r="A5" s="4" t="s">
        <v>14</v>
      </c>
      <c r="B5" s="60">
        <v>0</v>
      </c>
      <c r="C5" s="60">
        <v>0</v>
      </c>
      <c r="D5" s="60">
        <v>0</v>
      </c>
      <c r="E5" s="60">
        <v>0</v>
      </c>
      <c r="F5" s="60">
        <v>0</v>
      </c>
      <c r="G5" s="60">
        <v>0</v>
      </c>
      <c r="H5" s="60">
        <v>0</v>
      </c>
      <c r="I5" s="60">
        <v>0</v>
      </c>
      <c r="J5" s="60">
        <v>0</v>
      </c>
      <c r="K5" s="60">
        <v>0</v>
      </c>
      <c r="L5" s="60">
        <v>0</v>
      </c>
      <c r="M5" s="60">
        <v>0</v>
      </c>
      <c r="P5" s="4" t="s">
        <v>14</v>
      </c>
      <c r="Q5" s="4">
        <v>0</v>
      </c>
      <c r="R5" s="4">
        <v>0</v>
      </c>
      <c r="S5" s="4">
        <v>0</v>
      </c>
      <c r="T5" s="4">
        <v>0</v>
      </c>
      <c r="U5" s="4">
        <v>0</v>
      </c>
      <c r="V5" s="4">
        <v>0</v>
      </c>
      <c r="W5" s="4">
        <v>0</v>
      </c>
      <c r="X5" s="4">
        <v>0</v>
      </c>
      <c r="Y5" s="4">
        <v>0</v>
      </c>
      <c r="Z5" s="4">
        <v>0</v>
      </c>
      <c r="AA5" s="4">
        <v>0</v>
      </c>
      <c r="AB5" s="4">
        <v>0</v>
      </c>
    </row>
    <row r="6" spans="1:28" x14ac:dyDescent="0.25">
      <c r="A6" s="4" t="s">
        <v>15</v>
      </c>
      <c r="B6" s="60">
        <v>0</v>
      </c>
      <c r="C6" s="60">
        <v>0</v>
      </c>
      <c r="D6" s="60">
        <v>0</v>
      </c>
      <c r="E6" s="60">
        <v>0</v>
      </c>
      <c r="F6" s="60">
        <v>0</v>
      </c>
      <c r="G6" s="60">
        <v>0</v>
      </c>
      <c r="H6" s="60">
        <v>0</v>
      </c>
      <c r="I6" s="60">
        <v>0</v>
      </c>
      <c r="J6" s="60">
        <v>0</v>
      </c>
      <c r="K6" s="60">
        <v>0</v>
      </c>
      <c r="L6" s="60">
        <v>0</v>
      </c>
      <c r="M6" s="60">
        <v>0</v>
      </c>
      <c r="P6" s="4" t="s">
        <v>15</v>
      </c>
      <c r="Q6" s="4">
        <v>0</v>
      </c>
      <c r="R6" s="4">
        <v>0</v>
      </c>
      <c r="S6" s="4">
        <v>0</v>
      </c>
      <c r="T6" s="4">
        <v>0</v>
      </c>
      <c r="U6" s="4">
        <v>0</v>
      </c>
      <c r="V6" s="4">
        <v>0</v>
      </c>
      <c r="W6" s="4">
        <v>0</v>
      </c>
      <c r="X6" s="4">
        <v>0</v>
      </c>
      <c r="Y6" s="4">
        <v>0</v>
      </c>
      <c r="Z6" s="4">
        <v>0</v>
      </c>
      <c r="AA6" s="4">
        <v>0</v>
      </c>
      <c r="AB6" s="4">
        <v>0</v>
      </c>
    </row>
    <row r="7" spans="1:28" x14ac:dyDescent="0.25">
      <c r="A7" s="4" t="s">
        <v>16</v>
      </c>
      <c r="B7" s="60">
        <v>0</v>
      </c>
      <c r="C7" s="60">
        <v>0</v>
      </c>
      <c r="D7" s="60">
        <v>0</v>
      </c>
      <c r="E7" s="60">
        <v>0</v>
      </c>
      <c r="F7" s="60">
        <v>0</v>
      </c>
      <c r="G7" s="60">
        <v>0</v>
      </c>
      <c r="H7" s="60">
        <v>0</v>
      </c>
      <c r="I7" s="60">
        <v>0</v>
      </c>
      <c r="J7" s="60">
        <v>0</v>
      </c>
      <c r="K7" s="60">
        <v>0</v>
      </c>
      <c r="L7" s="60">
        <v>0</v>
      </c>
      <c r="M7" s="60">
        <v>0</v>
      </c>
      <c r="P7" s="4" t="s">
        <v>16</v>
      </c>
      <c r="Q7" s="4">
        <v>0</v>
      </c>
      <c r="R7" s="4">
        <v>0</v>
      </c>
      <c r="S7" s="4">
        <v>0</v>
      </c>
      <c r="T7" s="4">
        <v>0</v>
      </c>
      <c r="U7" s="4">
        <v>0</v>
      </c>
      <c r="V7" s="4">
        <v>0</v>
      </c>
      <c r="W7" s="4">
        <v>0</v>
      </c>
      <c r="X7" s="4">
        <v>0</v>
      </c>
      <c r="Y7" s="4">
        <v>0</v>
      </c>
      <c r="Z7" s="4">
        <v>0</v>
      </c>
      <c r="AA7" s="4">
        <v>0</v>
      </c>
      <c r="AB7" s="4">
        <v>0</v>
      </c>
    </row>
    <row r="8" spans="1:28" x14ac:dyDescent="0.25">
      <c r="A8" s="4" t="s">
        <v>17</v>
      </c>
      <c r="B8" s="60">
        <v>0</v>
      </c>
      <c r="C8" s="60">
        <v>0</v>
      </c>
      <c r="D8" s="60">
        <v>0</v>
      </c>
      <c r="E8" s="60">
        <v>0</v>
      </c>
      <c r="F8" s="60">
        <v>0</v>
      </c>
      <c r="G8" s="60">
        <v>0</v>
      </c>
      <c r="H8" s="60">
        <v>0</v>
      </c>
      <c r="I8" s="60">
        <v>0</v>
      </c>
      <c r="J8" s="60">
        <v>0</v>
      </c>
      <c r="K8" s="60">
        <v>0</v>
      </c>
      <c r="L8" s="60">
        <v>0</v>
      </c>
      <c r="M8" s="60">
        <v>0</v>
      </c>
      <c r="P8" s="4" t="s">
        <v>17</v>
      </c>
      <c r="Q8" s="4">
        <v>0</v>
      </c>
      <c r="R8" s="4">
        <v>0</v>
      </c>
      <c r="S8" s="4">
        <v>0</v>
      </c>
      <c r="T8" s="4">
        <v>0</v>
      </c>
      <c r="U8" s="4">
        <v>0</v>
      </c>
      <c r="V8" s="4">
        <v>0</v>
      </c>
      <c r="W8" s="4">
        <v>0</v>
      </c>
      <c r="X8" s="4">
        <v>0</v>
      </c>
      <c r="Y8" s="4">
        <v>0</v>
      </c>
      <c r="Z8" s="4">
        <v>0</v>
      </c>
      <c r="AA8" s="4">
        <v>0</v>
      </c>
      <c r="AB8" s="4">
        <v>0</v>
      </c>
    </row>
    <row r="9" spans="1:28" x14ac:dyDescent="0.25">
      <c r="A9" s="4" t="s">
        <v>18</v>
      </c>
      <c r="B9" s="60">
        <v>0</v>
      </c>
      <c r="C9" s="60">
        <v>0</v>
      </c>
      <c r="D9" s="60">
        <v>0</v>
      </c>
      <c r="E9" s="60">
        <v>0</v>
      </c>
      <c r="F9" s="60">
        <v>0</v>
      </c>
      <c r="G9" s="60">
        <v>0</v>
      </c>
      <c r="H9" s="60">
        <v>0</v>
      </c>
      <c r="I9" s="60">
        <v>0</v>
      </c>
      <c r="J9" s="60">
        <v>0</v>
      </c>
      <c r="K9" s="60">
        <v>0</v>
      </c>
      <c r="L9" s="60">
        <v>0</v>
      </c>
      <c r="M9" s="60">
        <v>0</v>
      </c>
      <c r="P9" s="4" t="s">
        <v>18</v>
      </c>
      <c r="Q9" s="4">
        <v>0</v>
      </c>
      <c r="R9" s="4">
        <v>0</v>
      </c>
      <c r="S9" s="4">
        <v>0</v>
      </c>
      <c r="T9" s="4">
        <v>0</v>
      </c>
      <c r="U9" s="4">
        <v>0</v>
      </c>
      <c r="V9" s="4">
        <v>0</v>
      </c>
      <c r="W9" s="4">
        <v>0</v>
      </c>
      <c r="X9" s="4">
        <v>0</v>
      </c>
      <c r="Y9" s="4">
        <v>0</v>
      </c>
      <c r="Z9" s="4">
        <v>0</v>
      </c>
      <c r="AA9" s="4">
        <v>0</v>
      </c>
      <c r="AB9" s="4">
        <v>0</v>
      </c>
    </row>
    <row r="10" spans="1:28" x14ac:dyDescent="0.25">
      <c r="A10" s="4" t="s">
        <v>19</v>
      </c>
      <c r="B10" s="60">
        <v>0</v>
      </c>
      <c r="C10" s="60">
        <v>0</v>
      </c>
      <c r="D10" s="60">
        <v>0</v>
      </c>
      <c r="E10" s="60">
        <v>4.5070537612236352</v>
      </c>
      <c r="F10" s="60">
        <v>19.490921432046697</v>
      </c>
      <c r="G10" s="60">
        <v>27.125265001781322</v>
      </c>
      <c r="H10" s="60">
        <v>19.360412929164355</v>
      </c>
      <c r="I10" s="60">
        <v>4.3332111679496279</v>
      </c>
      <c r="J10" s="60">
        <v>0</v>
      </c>
      <c r="K10" s="60">
        <v>0</v>
      </c>
      <c r="L10" s="60">
        <v>0</v>
      </c>
      <c r="M10" s="60">
        <v>0</v>
      </c>
      <c r="P10" s="4" t="s">
        <v>19</v>
      </c>
      <c r="Q10" s="4">
        <v>0</v>
      </c>
      <c r="R10" s="4">
        <v>0</v>
      </c>
      <c r="S10" s="4">
        <v>0</v>
      </c>
      <c r="T10" s="4">
        <v>4.5070537612236352</v>
      </c>
      <c r="U10" s="4">
        <v>19.490921432046697</v>
      </c>
      <c r="V10" s="4">
        <v>27.125265001781322</v>
      </c>
      <c r="W10" s="4">
        <v>19.360412929164355</v>
      </c>
      <c r="X10" s="4">
        <v>4.3332111679496279</v>
      </c>
      <c r="Y10" s="4">
        <v>0</v>
      </c>
      <c r="Z10" s="4">
        <v>0</v>
      </c>
      <c r="AA10" s="4">
        <v>0</v>
      </c>
      <c r="AB10" s="4">
        <v>0</v>
      </c>
    </row>
    <row r="11" spans="1:28" x14ac:dyDescent="0.25">
      <c r="A11" s="4" t="s">
        <v>20</v>
      </c>
      <c r="B11" s="60">
        <v>3.2643025421359506</v>
      </c>
      <c r="C11" s="60">
        <v>6.3064278345249818</v>
      </c>
      <c r="D11" s="60">
        <v>9.4768970366820042</v>
      </c>
      <c r="E11" s="60">
        <v>21.642727337827775</v>
      </c>
      <c r="F11" s="60">
        <v>43.395241958925588</v>
      </c>
      <c r="G11" s="60">
        <v>52.953827203173788</v>
      </c>
      <c r="H11" s="60">
        <v>44.26827944718525</v>
      </c>
      <c r="I11" s="60">
        <v>23.181782419750167</v>
      </c>
      <c r="J11" s="60">
        <v>10.025566222850811</v>
      </c>
      <c r="K11" s="60">
        <v>6.5614481275103991</v>
      </c>
      <c r="L11" s="60">
        <v>3.3043798240756006</v>
      </c>
      <c r="M11" s="60">
        <v>1.967034567626188</v>
      </c>
      <c r="P11" s="4" t="s">
        <v>20</v>
      </c>
      <c r="Q11" s="4">
        <v>3.2643025421359506</v>
      </c>
      <c r="R11" s="4">
        <v>6.3064278345249818</v>
      </c>
      <c r="S11" s="4">
        <v>9.4768970366820042</v>
      </c>
      <c r="T11" s="4">
        <v>21.642727337827775</v>
      </c>
      <c r="U11" s="4">
        <v>43.395241958925588</v>
      </c>
      <c r="V11" s="4">
        <v>52.953827203173788</v>
      </c>
      <c r="W11" s="4">
        <v>44.26827944718525</v>
      </c>
      <c r="X11" s="4">
        <v>23.181782419750167</v>
      </c>
      <c r="Y11" s="4">
        <v>10.025566222850811</v>
      </c>
      <c r="Z11" s="4">
        <v>6.5614481275103991</v>
      </c>
      <c r="AA11" s="4">
        <v>3.3043798240756006</v>
      </c>
      <c r="AB11" s="4">
        <v>1.967034567626188</v>
      </c>
    </row>
    <row r="12" spans="1:28" x14ac:dyDescent="0.25">
      <c r="A12" s="4" t="s">
        <v>21</v>
      </c>
      <c r="B12" s="60">
        <v>11.898627605320891</v>
      </c>
      <c r="C12" s="60">
        <v>14.416310488954947</v>
      </c>
      <c r="D12" s="60">
        <v>17.3033322214654</v>
      </c>
      <c r="E12" s="60">
        <v>21.245600094572854</v>
      </c>
      <c r="F12" s="60">
        <v>42.25766743739198</v>
      </c>
      <c r="G12" s="60">
        <v>52.738577247873202</v>
      </c>
      <c r="H12" s="60">
        <v>43.992141679789974</v>
      </c>
      <c r="I12" s="60">
        <v>23.573487262065846</v>
      </c>
      <c r="J12" s="60">
        <v>18.324495648777781</v>
      </c>
      <c r="K12" s="60">
        <v>15.075119194655567</v>
      </c>
      <c r="L12" s="60">
        <v>12.131403870791841</v>
      </c>
      <c r="M12" s="60">
        <v>10.747254065608505</v>
      </c>
      <c r="P12" s="4" t="s">
        <v>21</v>
      </c>
      <c r="Q12" s="4">
        <v>11.898627605320891</v>
      </c>
      <c r="R12" s="4">
        <v>14.416310488954947</v>
      </c>
      <c r="S12" s="4">
        <v>17.3033322214654</v>
      </c>
      <c r="T12" s="4">
        <v>21.245600094572854</v>
      </c>
      <c r="U12" s="4">
        <v>42.25766743739198</v>
      </c>
      <c r="V12" s="4">
        <v>52.738577247873202</v>
      </c>
      <c r="W12" s="4">
        <v>43.992141679789974</v>
      </c>
      <c r="X12" s="4">
        <v>23.573487262065846</v>
      </c>
      <c r="Y12" s="4">
        <v>18.324495648777781</v>
      </c>
      <c r="Z12" s="4">
        <v>15.075119194655567</v>
      </c>
      <c r="AA12" s="4">
        <v>12.131403870791841</v>
      </c>
      <c r="AB12" s="4">
        <v>10.747254065608505</v>
      </c>
    </row>
    <row r="13" spans="1:28" x14ac:dyDescent="0.25">
      <c r="A13" s="4" t="s">
        <v>22</v>
      </c>
      <c r="B13" s="60">
        <v>17.854596251304439</v>
      </c>
      <c r="C13" s="60">
        <v>20.367392714218369</v>
      </c>
      <c r="D13" s="60">
        <v>23.21544856561151</v>
      </c>
      <c r="E13" s="60">
        <v>26.245250547626185</v>
      </c>
      <c r="F13" s="60">
        <v>37.705566543035324</v>
      </c>
      <c r="G13" s="60">
        <v>47.782408939020129</v>
      </c>
      <c r="H13" s="60">
        <v>39.741854261253664</v>
      </c>
      <c r="I13" s="60">
        <v>27.796325735274863</v>
      </c>
      <c r="J13" s="60">
        <v>24.363154656720017</v>
      </c>
      <c r="K13" s="60">
        <v>21.142278295800242</v>
      </c>
      <c r="L13" s="60">
        <v>18.151314990730885</v>
      </c>
      <c r="M13" s="60">
        <v>16.676861410217381</v>
      </c>
      <c r="P13" s="4" t="s">
        <v>22</v>
      </c>
      <c r="Q13" s="4">
        <v>17.854596251304439</v>
      </c>
      <c r="R13" s="4">
        <v>20.367392714218369</v>
      </c>
      <c r="S13" s="4">
        <v>23.21544856561151</v>
      </c>
      <c r="T13" s="4">
        <v>26.245250547626185</v>
      </c>
      <c r="U13" s="4">
        <v>37.705566543035324</v>
      </c>
      <c r="V13" s="4">
        <v>47.782408939020129</v>
      </c>
      <c r="W13" s="4">
        <v>39.741854261253664</v>
      </c>
      <c r="X13" s="4">
        <v>27.796325735274863</v>
      </c>
      <c r="Y13" s="4">
        <v>24.363154656720017</v>
      </c>
      <c r="Z13" s="4">
        <v>21.142278295800242</v>
      </c>
      <c r="AA13" s="4">
        <v>18.151314990730885</v>
      </c>
      <c r="AB13" s="4">
        <v>16.676861410217381</v>
      </c>
    </row>
    <row r="14" spans="1:28" x14ac:dyDescent="0.25">
      <c r="A14" s="4" t="s">
        <v>23</v>
      </c>
      <c r="B14" s="60">
        <v>22.137322048590832</v>
      </c>
      <c r="C14" s="60">
        <v>24.718198351510008</v>
      </c>
      <c r="D14" s="60">
        <v>27.556010630677822</v>
      </c>
      <c r="E14" s="60">
        <v>30.433074443502203</v>
      </c>
      <c r="F14" s="60">
        <v>34.816480232142673</v>
      </c>
      <c r="G14" s="60">
        <v>43.570247348644862</v>
      </c>
      <c r="H14" s="60">
        <v>36.746114288365014</v>
      </c>
      <c r="I14" s="60">
        <v>32.027869561652523</v>
      </c>
      <c r="J14" s="60">
        <v>28.72422749123773</v>
      </c>
      <c r="K14" s="60">
        <v>25.52159225965022</v>
      </c>
      <c r="L14" s="60">
        <v>22.453314110287742</v>
      </c>
      <c r="M14" s="60">
        <v>20.903441168166516</v>
      </c>
      <c r="P14" s="4" t="s">
        <v>23</v>
      </c>
      <c r="Q14" s="4">
        <v>22.137322048590832</v>
      </c>
      <c r="R14" s="4">
        <v>24.718198351510008</v>
      </c>
      <c r="S14" s="4">
        <v>27.556010630677822</v>
      </c>
      <c r="T14" s="4">
        <v>30.433074443502203</v>
      </c>
      <c r="U14" s="4">
        <v>34.816480232142673</v>
      </c>
      <c r="V14" s="4">
        <v>43.570247348644862</v>
      </c>
      <c r="W14" s="4">
        <v>36.746114288365014</v>
      </c>
      <c r="X14" s="4">
        <v>32.027869561652523</v>
      </c>
      <c r="Y14" s="4">
        <v>28.72422749123773</v>
      </c>
      <c r="Z14" s="4">
        <v>25.52159225965022</v>
      </c>
      <c r="AA14" s="4">
        <v>22.453314110287742</v>
      </c>
      <c r="AB14" s="4">
        <v>20.903441168166516</v>
      </c>
    </row>
    <row r="15" spans="1:28" x14ac:dyDescent="0.25">
      <c r="A15" s="4" t="s">
        <v>24</v>
      </c>
      <c r="B15" s="60">
        <v>24.765065245997299</v>
      </c>
      <c r="C15" s="60">
        <v>27.402093297654179</v>
      </c>
      <c r="D15" s="60">
        <v>30.235211455568081</v>
      </c>
      <c r="E15" s="60">
        <v>33.006814299120826</v>
      </c>
      <c r="F15" s="60">
        <v>34.918573778704499</v>
      </c>
      <c r="G15" s="60">
        <v>41.297127124084206</v>
      </c>
      <c r="H15" s="60">
        <v>35.957839676902609</v>
      </c>
      <c r="I15" s="60">
        <v>34.609822706378253</v>
      </c>
      <c r="J15" s="60">
        <v>31.396211231644187</v>
      </c>
      <c r="K15" s="60">
        <v>28.208172435871568</v>
      </c>
      <c r="L15" s="60">
        <v>25.08589702038174</v>
      </c>
      <c r="M15" s="60">
        <v>23.489423034102295</v>
      </c>
      <c r="P15" s="4" t="s">
        <v>24</v>
      </c>
      <c r="Q15" s="4">
        <v>24.765065245997299</v>
      </c>
      <c r="R15" s="4">
        <v>27.402093297654179</v>
      </c>
      <c r="S15" s="4">
        <v>30.235211455568081</v>
      </c>
      <c r="T15" s="4">
        <v>33.006814299120826</v>
      </c>
      <c r="U15" s="4">
        <v>34.918573778704499</v>
      </c>
      <c r="V15" s="4">
        <v>41.297127124084206</v>
      </c>
      <c r="W15" s="4">
        <v>35.957839676902609</v>
      </c>
      <c r="X15" s="4">
        <v>34.609822706378253</v>
      </c>
      <c r="Y15" s="4">
        <v>31.396211231644187</v>
      </c>
      <c r="Z15" s="4">
        <v>28.208172435871568</v>
      </c>
      <c r="AA15" s="4">
        <v>25.08589702038174</v>
      </c>
      <c r="AB15" s="4">
        <v>23.489423034102295</v>
      </c>
    </row>
    <row r="16" spans="1:28" x14ac:dyDescent="0.25">
      <c r="A16" s="4" t="s">
        <v>25</v>
      </c>
      <c r="B16" s="60">
        <v>25.653400577912702</v>
      </c>
      <c r="C16" s="60">
        <v>28.311064241555336</v>
      </c>
      <c r="D16" s="60">
        <v>31.142626427500115</v>
      </c>
      <c r="E16" s="60">
        <v>33.876810249260728</v>
      </c>
      <c r="F16" s="60">
        <v>35.749364206515025</v>
      </c>
      <c r="G16" s="60">
        <v>40.655624003411411</v>
      </c>
      <c r="H16" s="60">
        <v>36.567881953523361</v>
      </c>
      <c r="I16" s="60">
        <v>35.479987555168549</v>
      </c>
      <c r="J16" s="60">
        <v>32.298509518145984</v>
      </c>
      <c r="K16" s="60">
        <v>29.116090221209266</v>
      </c>
      <c r="L16" s="60">
        <v>25.974958800183575</v>
      </c>
      <c r="M16" s="60">
        <v>24.362807712068236</v>
      </c>
      <c r="P16" s="4" t="s">
        <v>25</v>
      </c>
      <c r="Q16" s="4">
        <v>25.653400577912702</v>
      </c>
      <c r="R16" s="4">
        <v>28.311064241555336</v>
      </c>
      <c r="S16" s="4">
        <v>31.142626427500115</v>
      </c>
      <c r="T16" s="4">
        <v>33.876810249260728</v>
      </c>
      <c r="U16" s="4">
        <v>35.749364206515025</v>
      </c>
      <c r="V16" s="4">
        <v>40.655624003411411</v>
      </c>
      <c r="W16" s="4">
        <v>36.567881953523361</v>
      </c>
      <c r="X16" s="4">
        <v>35.479987555168549</v>
      </c>
      <c r="Y16" s="4">
        <v>32.298509518145984</v>
      </c>
      <c r="Z16" s="4">
        <v>29.116090221209266</v>
      </c>
      <c r="AA16" s="4">
        <v>25.974958800183575</v>
      </c>
      <c r="AB16" s="4">
        <v>24.362807712068236</v>
      </c>
    </row>
    <row r="17" spans="1:28" x14ac:dyDescent="0.25">
      <c r="A17" s="4" t="s">
        <v>26</v>
      </c>
      <c r="B17" s="60">
        <v>24.765065245997299</v>
      </c>
      <c r="C17" s="60">
        <v>27.402093297654179</v>
      </c>
      <c r="D17" s="60">
        <v>30.235211455568081</v>
      </c>
      <c r="E17" s="60">
        <v>33.006814299120826</v>
      </c>
      <c r="F17" s="60">
        <v>34.918573778704499</v>
      </c>
      <c r="G17" s="60">
        <v>41.297127124084206</v>
      </c>
      <c r="H17" s="60">
        <v>35.957839676902609</v>
      </c>
      <c r="I17" s="60">
        <v>34.609822706378253</v>
      </c>
      <c r="J17" s="60">
        <v>31.396211231644187</v>
      </c>
      <c r="K17" s="60">
        <v>28.208172435871568</v>
      </c>
      <c r="L17" s="60">
        <v>25.08589702038174</v>
      </c>
      <c r="M17" s="60">
        <v>23.489423034102295</v>
      </c>
      <c r="P17" s="4" t="s">
        <v>26</v>
      </c>
      <c r="Q17" s="4">
        <v>24.765065245997299</v>
      </c>
      <c r="R17" s="4">
        <v>27.402093297654179</v>
      </c>
      <c r="S17" s="4">
        <v>30.235211455568081</v>
      </c>
      <c r="T17" s="4">
        <v>33.006814299120826</v>
      </c>
      <c r="U17" s="4">
        <v>34.918573778704499</v>
      </c>
      <c r="V17" s="4">
        <v>41.297127124084206</v>
      </c>
      <c r="W17" s="4">
        <v>35.957839676902609</v>
      </c>
      <c r="X17" s="4">
        <v>34.609822706378253</v>
      </c>
      <c r="Y17" s="4">
        <v>31.396211231644187</v>
      </c>
      <c r="Z17" s="4">
        <v>28.208172435871568</v>
      </c>
      <c r="AA17" s="4">
        <v>25.08589702038174</v>
      </c>
      <c r="AB17" s="4">
        <v>23.489423034102295</v>
      </c>
    </row>
    <row r="18" spans="1:28" x14ac:dyDescent="0.25">
      <c r="A18" s="4" t="s">
        <v>27</v>
      </c>
      <c r="B18" s="60">
        <v>22.137322048590832</v>
      </c>
      <c r="C18" s="60">
        <v>24.718198351510008</v>
      </c>
      <c r="D18" s="60">
        <v>27.556010630677822</v>
      </c>
      <c r="E18" s="60">
        <v>30.433074443502203</v>
      </c>
      <c r="F18" s="60">
        <v>34.816480232142673</v>
      </c>
      <c r="G18" s="60">
        <v>43.570247348644862</v>
      </c>
      <c r="H18" s="60">
        <v>36.746114288365042</v>
      </c>
      <c r="I18" s="60">
        <v>32.027869561652523</v>
      </c>
      <c r="J18" s="60">
        <v>28.72422749123773</v>
      </c>
      <c r="K18" s="60">
        <v>25.52159225965022</v>
      </c>
      <c r="L18" s="60">
        <v>22.453314110287742</v>
      </c>
      <c r="M18" s="60">
        <v>20.903441168166516</v>
      </c>
      <c r="P18" s="4" t="s">
        <v>27</v>
      </c>
      <c r="Q18" s="4">
        <v>22.137322048590832</v>
      </c>
      <c r="R18" s="4">
        <v>24.718198351510008</v>
      </c>
      <c r="S18" s="4">
        <v>27.556010630677822</v>
      </c>
      <c r="T18" s="4">
        <v>30.433074443502203</v>
      </c>
      <c r="U18" s="4">
        <v>34.816480232142673</v>
      </c>
      <c r="V18" s="4">
        <v>43.570247348644862</v>
      </c>
      <c r="W18" s="4">
        <v>36.746114288365042</v>
      </c>
      <c r="X18" s="4">
        <v>32.027869561652523</v>
      </c>
      <c r="Y18" s="4">
        <v>28.72422749123773</v>
      </c>
      <c r="Z18" s="4">
        <v>25.52159225965022</v>
      </c>
      <c r="AA18" s="4">
        <v>22.453314110287742</v>
      </c>
      <c r="AB18" s="4">
        <v>20.903441168166516</v>
      </c>
    </row>
    <row r="19" spans="1:28" x14ac:dyDescent="0.25">
      <c r="A19" s="4" t="s">
        <v>28</v>
      </c>
      <c r="B19" s="60">
        <v>17.854596251304439</v>
      </c>
      <c r="C19" s="60">
        <v>20.367392714218369</v>
      </c>
      <c r="D19" s="60">
        <v>23.21544856561151</v>
      </c>
      <c r="E19" s="60">
        <v>26.245250547626185</v>
      </c>
      <c r="F19" s="60">
        <v>37.705566543035324</v>
      </c>
      <c r="G19" s="60">
        <v>47.782408939020129</v>
      </c>
      <c r="H19" s="60">
        <v>39.741854261253636</v>
      </c>
      <c r="I19" s="60">
        <v>27.796325735274863</v>
      </c>
      <c r="J19" s="60">
        <v>24.363154656720017</v>
      </c>
      <c r="K19" s="60">
        <v>21.142278295800242</v>
      </c>
      <c r="L19" s="60">
        <v>18.151314990730885</v>
      </c>
      <c r="M19" s="60">
        <v>16.676861410217381</v>
      </c>
      <c r="P19" s="4" t="s">
        <v>28</v>
      </c>
      <c r="Q19" s="4">
        <v>17.854596251304439</v>
      </c>
      <c r="R19" s="4">
        <v>20.367392714218369</v>
      </c>
      <c r="S19" s="4">
        <v>23.21544856561151</v>
      </c>
      <c r="T19" s="4">
        <v>26.245250547626185</v>
      </c>
      <c r="U19" s="4">
        <v>37.705566543035324</v>
      </c>
      <c r="V19" s="4">
        <v>47.782408939020129</v>
      </c>
      <c r="W19" s="4">
        <v>39.741854261253636</v>
      </c>
      <c r="X19" s="4">
        <v>27.796325735274863</v>
      </c>
      <c r="Y19" s="4">
        <v>24.363154656720017</v>
      </c>
      <c r="Z19" s="4">
        <v>21.142278295800242</v>
      </c>
      <c r="AA19" s="4">
        <v>18.151314990730885</v>
      </c>
      <c r="AB19" s="4">
        <v>16.676861410217381</v>
      </c>
    </row>
    <row r="20" spans="1:28" x14ac:dyDescent="0.25">
      <c r="A20" s="4" t="s">
        <v>29</v>
      </c>
      <c r="B20" s="60">
        <v>11.898627605320891</v>
      </c>
      <c r="C20" s="60">
        <v>14.416310488954947</v>
      </c>
      <c r="D20" s="60">
        <v>17.3033322214654</v>
      </c>
      <c r="E20" s="60">
        <v>21.245600094572854</v>
      </c>
      <c r="F20" s="60">
        <v>42.257667437391902</v>
      </c>
      <c r="G20" s="60">
        <v>52.73857724787316</v>
      </c>
      <c r="H20" s="60">
        <v>43.992141679789974</v>
      </c>
      <c r="I20" s="60">
        <v>23.573487262065868</v>
      </c>
      <c r="J20" s="60">
        <v>18.324495648777781</v>
      </c>
      <c r="K20" s="60">
        <v>15.075119194655567</v>
      </c>
      <c r="L20" s="60">
        <v>12.131403870791841</v>
      </c>
      <c r="M20" s="60">
        <v>10.747254065608505</v>
      </c>
      <c r="P20" s="4" t="s">
        <v>29</v>
      </c>
      <c r="Q20" s="4">
        <v>11.898627605320891</v>
      </c>
      <c r="R20" s="4">
        <v>14.416310488954947</v>
      </c>
      <c r="S20" s="4">
        <v>17.3033322214654</v>
      </c>
      <c r="T20" s="4">
        <v>21.245600094572854</v>
      </c>
      <c r="U20" s="4">
        <v>42.257667437391902</v>
      </c>
      <c r="V20" s="4">
        <v>52.73857724787316</v>
      </c>
      <c r="W20" s="4">
        <v>43.992141679789974</v>
      </c>
      <c r="X20" s="4">
        <v>23.573487262065868</v>
      </c>
      <c r="Y20" s="4">
        <v>18.324495648777781</v>
      </c>
      <c r="Z20" s="4">
        <v>15.075119194655567</v>
      </c>
      <c r="AA20" s="4">
        <v>12.131403870791841</v>
      </c>
      <c r="AB20" s="4">
        <v>10.747254065608505</v>
      </c>
    </row>
    <row r="21" spans="1:28" x14ac:dyDescent="0.25">
      <c r="A21" s="4" t="s">
        <v>30</v>
      </c>
      <c r="B21" s="60">
        <v>3.2643025421359506</v>
      </c>
      <c r="C21" s="60">
        <v>6.3064278345249818</v>
      </c>
      <c r="D21" s="60">
        <v>9.4768970366820042</v>
      </c>
      <c r="E21" s="60">
        <v>21.642727337827829</v>
      </c>
      <c r="F21" s="60">
        <v>43.395241958925553</v>
      </c>
      <c r="G21" s="60">
        <v>52.953827203173866</v>
      </c>
      <c r="H21" s="60">
        <v>44.26827944718525</v>
      </c>
      <c r="I21" s="60">
        <v>23.181782419750213</v>
      </c>
      <c r="J21" s="60">
        <v>10.025566222850811</v>
      </c>
      <c r="K21" s="60">
        <v>6.5614481275103991</v>
      </c>
      <c r="L21" s="60">
        <v>3.3043798240756006</v>
      </c>
      <c r="M21" s="60">
        <v>1.967034567626188</v>
      </c>
      <c r="P21" s="4" t="s">
        <v>30</v>
      </c>
      <c r="Q21" s="4">
        <v>3.2643025421359506</v>
      </c>
      <c r="R21" s="4">
        <v>6.3064278345249818</v>
      </c>
      <c r="S21" s="4">
        <v>9.4768970366820042</v>
      </c>
      <c r="T21" s="4">
        <v>21.642727337827829</v>
      </c>
      <c r="U21" s="4">
        <v>43.395241958925553</v>
      </c>
      <c r="V21" s="4">
        <v>52.953827203173866</v>
      </c>
      <c r="W21" s="4">
        <v>44.26827944718525</v>
      </c>
      <c r="X21" s="4">
        <v>23.181782419750213</v>
      </c>
      <c r="Y21" s="4">
        <v>10.025566222850811</v>
      </c>
      <c r="Z21" s="4">
        <v>6.5614481275103991</v>
      </c>
      <c r="AA21" s="4">
        <v>3.3043798240756006</v>
      </c>
      <c r="AB21" s="4">
        <v>1.967034567626188</v>
      </c>
    </row>
    <row r="22" spans="1:28" x14ac:dyDescent="0.25">
      <c r="A22" s="4" t="s">
        <v>31</v>
      </c>
      <c r="B22" s="60">
        <v>0</v>
      </c>
      <c r="C22" s="60">
        <v>0</v>
      </c>
      <c r="D22" s="60">
        <v>0</v>
      </c>
      <c r="E22" s="60">
        <v>4.507053761223621</v>
      </c>
      <c r="F22" s="60">
        <v>19.490921432046669</v>
      </c>
      <c r="G22" s="60">
        <v>27.125265001781354</v>
      </c>
      <c r="H22" s="60">
        <v>19.360412929164337</v>
      </c>
      <c r="I22" s="60">
        <v>4.333211167949619</v>
      </c>
      <c r="J22" s="60">
        <v>0</v>
      </c>
      <c r="K22" s="60">
        <v>0</v>
      </c>
      <c r="L22" s="60">
        <v>0</v>
      </c>
      <c r="M22" s="60">
        <v>0</v>
      </c>
      <c r="P22" s="4" t="s">
        <v>31</v>
      </c>
      <c r="Q22" s="4">
        <v>0</v>
      </c>
      <c r="R22" s="4">
        <v>0</v>
      </c>
      <c r="S22" s="4">
        <v>0</v>
      </c>
      <c r="T22" s="4">
        <v>4.507053761223621</v>
      </c>
      <c r="U22" s="4">
        <v>19.490921432046669</v>
      </c>
      <c r="V22" s="4">
        <v>27.125265001781354</v>
      </c>
      <c r="W22" s="4">
        <v>19.360412929164337</v>
      </c>
      <c r="X22" s="4">
        <v>4.333211167949619</v>
      </c>
      <c r="Y22" s="4">
        <v>0</v>
      </c>
      <c r="Z22" s="4">
        <v>0</v>
      </c>
      <c r="AA22" s="4">
        <v>0</v>
      </c>
      <c r="AB22" s="4">
        <v>0</v>
      </c>
    </row>
    <row r="23" spans="1:28" x14ac:dyDescent="0.25">
      <c r="A23" s="4" t="s">
        <v>32</v>
      </c>
      <c r="B23" s="60">
        <v>0</v>
      </c>
      <c r="C23" s="60">
        <v>0</v>
      </c>
      <c r="D23" s="60">
        <v>0</v>
      </c>
      <c r="E23" s="60">
        <v>0</v>
      </c>
      <c r="F23" s="60">
        <v>0</v>
      </c>
      <c r="G23" s="60">
        <v>0</v>
      </c>
      <c r="H23" s="60">
        <v>0</v>
      </c>
      <c r="I23" s="60">
        <v>0</v>
      </c>
      <c r="J23" s="60">
        <v>0</v>
      </c>
      <c r="K23" s="60">
        <v>0</v>
      </c>
      <c r="L23" s="60">
        <v>0</v>
      </c>
      <c r="M23" s="60">
        <v>0</v>
      </c>
      <c r="P23" s="4" t="s">
        <v>32</v>
      </c>
      <c r="Q23" s="4">
        <v>0</v>
      </c>
      <c r="R23" s="4">
        <v>0</v>
      </c>
      <c r="S23" s="4">
        <v>0</v>
      </c>
      <c r="T23" s="4">
        <v>0</v>
      </c>
      <c r="U23" s="4">
        <v>0</v>
      </c>
      <c r="V23" s="4">
        <v>0</v>
      </c>
      <c r="W23" s="4">
        <v>0</v>
      </c>
      <c r="X23" s="4">
        <v>0</v>
      </c>
      <c r="Y23" s="4">
        <v>0</v>
      </c>
      <c r="Z23" s="4">
        <v>0</v>
      </c>
      <c r="AA23" s="4">
        <v>0</v>
      </c>
      <c r="AB23" s="4">
        <v>0</v>
      </c>
    </row>
    <row r="24" spans="1:28" x14ac:dyDescent="0.25">
      <c r="A24" s="4" t="s">
        <v>33</v>
      </c>
      <c r="B24" s="60">
        <v>0</v>
      </c>
      <c r="C24" s="60">
        <v>0</v>
      </c>
      <c r="D24" s="60">
        <v>0</v>
      </c>
      <c r="E24" s="60">
        <v>0</v>
      </c>
      <c r="F24" s="60">
        <v>0</v>
      </c>
      <c r="G24" s="60">
        <v>0</v>
      </c>
      <c r="H24" s="60">
        <v>0</v>
      </c>
      <c r="I24" s="60">
        <v>0</v>
      </c>
      <c r="J24" s="60">
        <v>0</v>
      </c>
      <c r="K24" s="60">
        <v>0</v>
      </c>
      <c r="L24" s="60">
        <v>0</v>
      </c>
      <c r="M24" s="60">
        <v>0</v>
      </c>
      <c r="P24" s="4" t="s">
        <v>33</v>
      </c>
      <c r="Q24" s="4">
        <v>0</v>
      </c>
      <c r="R24" s="4">
        <v>0</v>
      </c>
      <c r="S24" s="4">
        <v>0</v>
      </c>
      <c r="T24" s="4">
        <v>0</v>
      </c>
      <c r="U24" s="4">
        <v>0</v>
      </c>
      <c r="V24" s="4">
        <v>0</v>
      </c>
      <c r="W24" s="4">
        <v>0</v>
      </c>
      <c r="X24" s="4">
        <v>0</v>
      </c>
      <c r="Y24" s="4">
        <v>0</v>
      </c>
      <c r="Z24" s="4">
        <v>0</v>
      </c>
      <c r="AA24" s="4">
        <v>0</v>
      </c>
      <c r="AB24" s="4">
        <v>0</v>
      </c>
    </row>
    <row r="25" spans="1:28" x14ac:dyDescent="0.25">
      <c r="A25" s="4" t="s">
        <v>34</v>
      </c>
      <c r="B25" s="60">
        <v>0</v>
      </c>
      <c r="C25" s="60">
        <v>0</v>
      </c>
      <c r="D25" s="60">
        <v>0</v>
      </c>
      <c r="E25" s="60">
        <v>0</v>
      </c>
      <c r="F25" s="60">
        <v>0</v>
      </c>
      <c r="G25" s="60">
        <v>0</v>
      </c>
      <c r="H25" s="60">
        <v>0</v>
      </c>
      <c r="I25" s="60">
        <v>0</v>
      </c>
      <c r="J25" s="60">
        <v>0</v>
      </c>
      <c r="K25" s="60">
        <v>0</v>
      </c>
      <c r="L25" s="60">
        <v>0</v>
      </c>
      <c r="M25" s="60">
        <v>0</v>
      </c>
      <c r="P25" s="4" t="s">
        <v>34</v>
      </c>
      <c r="Q25" s="4">
        <v>0</v>
      </c>
      <c r="R25" s="4">
        <v>0</v>
      </c>
      <c r="S25" s="4">
        <v>0</v>
      </c>
      <c r="T25" s="4">
        <v>0</v>
      </c>
      <c r="U25" s="4">
        <v>0</v>
      </c>
      <c r="V25" s="4">
        <v>0</v>
      </c>
      <c r="W25" s="4">
        <v>0</v>
      </c>
      <c r="X25" s="4">
        <v>0</v>
      </c>
      <c r="Y25" s="4">
        <v>0</v>
      </c>
      <c r="Z25" s="4">
        <v>0</v>
      </c>
      <c r="AA25" s="4">
        <v>0</v>
      </c>
      <c r="AB25" s="4">
        <v>0</v>
      </c>
    </row>
    <row r="26" spans="1:28" x14ac:dyDescent="0.25">
      <c r="A26" s="4" t="s">
        <v>35</v>
      </c>
      <c r="B26" s="60">
        <v>0</v>
      </c>
      <c r="C26" s="60">
        <v>0</v>
      </c>
      <c r="D26" s="60">
        <v>0</v>
      </c>
      <c r="E26" s="60">
        <v>0</v>
      </c>
      <c r="F26" s="60">
        <v>0</v>
      </c>
      <c r="G26" s="60">
        <v>0</v>
      </c>
      <c r="H26" s="60">
        <v>0</v>
      </c>
      <c r="I26" s="60">
        <v>0</v>
      </c>
      <c r="J26" s="60">
        <v>0</v>
      </c>
      <c r="K26" s="60">
        <v>0</v>
      </c>
      <c r="L26" s="60">
        <v>0</v>
      </c>
      <c r="M26" s="60">
        <v>0</v>
      </c>
      <c r="P26" s="4" t="s">
        <v>35</v>
      </c>
      <c r="Q26" s="4">
        <v>0</v>
      </c>
      <c r="R26" s="4">
        <v>0</v>
      </c>
      <c r="S26" s="4">
        <v>0</v>
      </c>
      <c r="T26" s="4">
        <v>0</v>
      </c>
      <c r="U26" s="4">
        <v>0</v>
      </c>
      <c r="V26" s="4">
        <v>0</v>
      </c>
      <c r="W26" s="4">
        <v>0</v>
      </c>
      <c r="X26" s="4">
        <v>0</v>
      </c>
      <c r="Y26" s="4">
        <v>0</v>
      </c>
      <c r="Z26" s="4">
        <v>0</v>
      </c>
      <c r="AA26" s="4">
        <v>0</v>
      </c>
      <c r="AB26" s="4">
        <v>0</v>
      </c>
    </row>
    <row r="27" spans="1:28" x14ac:dyDescent="0.25">
      <c r="A27" s="4" t="s">
        <v>36</v>
      </c>
      <c r="B27" s="60">
        <v>0</v>
      </c>
      <c r="C27" s="60">
        <v>0</v>
      </c>
      <c r="D27" s="60">
        <v>0</v>
      </c>
      <c r="E27" s="60">
        <v>0</v>
      </c>
      <c r="F27" s="60">
        <v>0</v>
      </c>
      <c r="G27" s="60">
        <v>0</v>
      </c>
      <c r="H27" s="60">
        <v>0</v>
      </c>
      <c r="I27" s="60">
        <v>0</v>
      </c>
      <c r="J27" s="60">
        <v>0</v>
      </c>
      <c r="K27" s="60">
        <v>0</v>
      </c>
      <c r="L27" s="60">
        <v>0</v>
      </c>
      <c r="M27" s="60">
        <v>0</v>
      </c>
      <c r="P27" s="4" t="s">
        <v>36</v>
      </c>
      <c r="Q27" s="4">
        <v>0</v>
      </c>
      <c r="R27" s="4">
        <v>0</v>
      </c>
      <c r="S27" s="4">
        <v>0</v>
      </c>
      <c r="T27" s="4">
        <v>0</v>
      </c>
      <c r="U27" s="4">
        <v>0</v>
      </c>
      <c r="V27" s="4">
        <v>0</v>
      </c>
      <c r="W27" s="4">
        <v>0</v>
      </c>
      <c r="X27" s="4">
        <v>0</v>
      </c>
      <c r="Y27" s="4">
        <v>0</v>
      </c>
      <c r="Z27" s="4">
        <v>0</v>
      </c>
      <c r="AA27" s="4">
        <v>0</v>
      </c>
      <c r="AB27" s="4">
        <v>0</v>
      </c>
    </row>
    <row r="30" spans="1:28" x14ac:dyDescent="0.25">
      <c r="A30" s="4" t="s">
        <v>93</v>
      </c>
      <c r="P30" s="4" t="s">
        <v>93</v>
      </c>
    </row>
    <row r="31" spans="1:28" x14ac:dyDescent="0.25">
      <c r="A31" s="4"/>
    </row>
    <row r="32" spans="1:28" x14ac:dyDescent="0.25">
      <c r="A32" s="4"/>
      <c r="B32" s="60" t="s">
        <v>1</v>
      </c>
      <c r="C32" s="60" t="s">
        <v>2</v>
      </c>
      <c r="D32" s="60" t="s">
        <v>3</v>
      </c>
      <c r="E32" s="60" t="s">
        <v>4</v>
      </c>
      <c r="F32" s="60" t="s">
        <v>5</v>
      </c>
      <c r="G32" s="60" t="s">
        <v>6</v>
      </c>
      <c r="H32" s="60" t="s">
        <v>7</v>
      </c>
      <c r="I32" s="60" t="s">
        <v>8</v>
      </c>
      <c r="J32" s="60" t="s">
        <v>9</v>
      </c>
      <c r="K32" s="60" t="s">
        <v>10</v>
      </c>
      <c r="L32" s="60" t="s">
        <v>11</v>
      </c>
      <c r="M32" s="60" t="s">
        <v>12</v>
      </c>
      <c r="Q32" s="4" t="s">
        <v>1</v>
      </c>
      <c r="R32" s="4" t="s">
        <v>2</v>
      </c>
      <c r="S32" s="4" t="s">
        <v>3</v>
      </c>
      <c r="T32" s="4" t="s">
        <v>4</v>
      </c>
      <c r="U32" s="4" t="s">
        <v>5</v>
      </c>
      <c r="V32" s="4" t="s">
        <v>6</v>
      </c>
      <c r="W32" s="4" t="s">
        <v>7</v>
      </c>
      <c r="X32" s="4" t="s">
        <v>8</v>
      </c>
      <c r="Y32" s="4" t="s">
        <v>9</v>
      </c>
      <c r="Z32" s="4" t="s">
        <v>10</v>
      </c>
      <c r="AA32" s="4" t="s">
        <v>11</v>
      </c>
      <c r="AB32" s="4" t="s">
        <v>12</v>
      </c>
    </row>
    <row r="33" spans="1:28" x14ac:dyDescent="0.25">
      <c r="A33" s="4" t="s">
        <v>13</v>
      </c>
      <c r="B33" s="60">
        <v>0</v>
      </c>
      <c r="C33" s="60">
        <v>0</v>
      </c>
      <c r="D33" s="60">
        <v>0</v>
      </c>
      <c r="E33" s="60">
        <v>0</v>
      </c>
      <c r="F33" s="60">
        <v>0</v>
      </c>
      <c r="G33" s="60">
        <v>0</v>
      </c>
      <c r="H33" s="60">
        <v>0</v>
      </c>
      <c r="I33" s="60">
        <v>0</v>
      </c>
      <c r="J33" s="60">
        <v>0</v>
      </c>
      <c r="K33" s="60">
        <v>0</v>
      </c>
      <c r="L33" s="60">
        <v>0</v>
      </c>
      <c r="M33" s="60">
        <v>0</v>
      </c>
      <c r="P33" s="4" t="s">
        <v>13</v>
      </c>
      <c r="Q33" s="4">
        <v>0</v>
      </c>
      <c r="R33" s="4">
        <v>0</v>
      </c>
      <c r="S33" s="4">
        <v>0</v>
      </c>
      <c r="T33" s="4">
        <v>0</v>
      </c>
      <c r="U33" s="4">
        <v>0</v>
      </c>
      <c r="V33" s="4">
        <v>0</v>
      </c>
      <c r="W33" s="4">
        <v>0</v>
      </c>
      <c r="X33" s="4">
        <v>0</v>
      </c>
      <c r="Y33" s="4">
        <v>0</v>
      </c>
      <c r="Z33" s="4">
        <v>0</v>
      </c>
      <c r="AA33" s="4">
        <v>0</v>
      </c>
      <c r="AB33" s="4">
        <v>0</v>
      </c>
    </row>
    <row r="34" spans="1:28" x14ac:dyDescent="0.25">
      <c r="A34" s="4" t="s">
        <v>14</v>
      </c>
      <c r="B34" s="60">
        <v>0</v>
      </c>
      <c r="C34" s="60">
        <v>0</v>
      </c>
      <c r="D34" s="60">
        <v>0</v>
      </c>
      <c r="E34" s="60">
        <v>0</v>
      </c>
      <c r="F34" s="60">
        <v>0</v>
      </c>
      <c r="G34" s="60">
        <v>0</v>
      </c>
      <c r="H34" s="60">
        <v>0</v>
      </c>
      <c r="I34" s="60">
        <v>0</v>
      </c>
      <c r="J34" s="60">
        <v>0</v>
      </c>
      <c r="K34" s="60">
        <v>0</v>
      </c>
      <c r="L34" s="60">
        <v>0</v>
      </c>
      <c r="M34" s="60">
        <v>0</v>
      </c>
      <c r="P34" s="4" t="s">
        <v>14</v>
      </c>
      <c r="Q34" s="4">
        <v>0</v>
      </c>
      <c r="R34" s="4">
        <v>0</v>
      </c>
      <c r="S34" s="4">
        <v>0</v>
      </c>
      <c r="T34" s="4">
        <v>0</v>
      </c>
      <c r="U34" s="4">
        <v>0</v>
      </c>
      <c r="V34" s="4">
        <v>0</v>
      </c>
      <c r="W34" s="4">
        <v>0</v>
      </c>
      <c r="X34" s="4">
        <v>0</v>
      </c>
      <c r="Y34" s="4">
        <v>0</v>
      </c>
      <c r="Z34" s="4">
        <v>0</v>
      </c>
      <c r="AA34" s="4">
        <v>0</v>
      </c>
      <c r="AB34" s="4">
        <v>0</v>
      </c>
    </row>
    <row r="35" spans="1:28" x14ac:dyDescent="0.25">
      <c r="A35" s="4" t="s">
        <v>15</v>
      </c>
      <c r="B35" s="60">
        <v>0</v>
      </c>
      <c r="C35" s="60">
        <v>0</v>
      </c>
      <c r="D35" s="60">
        <v>0</v>
      </c>
      <c r="E35" s="60">
        <v>0</v>
      </c>
      <c r="F35" s="60">
        <v>0</v>
      </c>
      <c r="G35" s="60">
        <v>0</v>
      </c>
      <c r="H35" s="60">
        <v>0</v>
      </c>
      <c r="I35" s="60">
        <v>0</v>
      </c>
      <c r="J35" s="60">
        <v>0</v>
      </c>
      <c r="K35" s="60">
        <v>0</v>
      </c>
      <c r="L35" s="60">
        <v>0</v>
      </c>
      <c r="M35" s="60">
        <v>0</v>
      </c>
      <c r="P35" s="4" t="s">
        <v>15</v>
      </c>
      <c r="Q35" s="4">
        <v>0</v>
      </c>
      <c r="R35" s="4">
        <v>0</v>
      </c>
      <c r="S35" s="4">
        <v>0</v>
      </c>
      <c r="T35" s="4">
        <v>0</v>
      </c>
      <c r="U35" s="4">
        <v>0</v>
      </c>
      <c r="V35" s="4">
        <v>0</v>
      </c>
      <c r="W35" s="4">
        <v>0</v>
      </c>
      <c r="X35" s="4">
        <v>0</v>
      </c>
      <c r="Y35" s="4">
        <v>0</v>
      </c>
      <c r="Z35" s="4">
        <v>0</v>
      </c>
      <c r="AA35" s="4">
        <v>0</v>
      </c>
      <c r="AB35" s="4">
        <v>0</v>
      </c>
    </row>
    <row r="36" spans="1:28" x14ac:dyDescent="0.25">
      <c r="A36" s="4" t="s">
        <v>16</v>
      </c>
      <c r="B36" s="60">
        <v>0</v>
      </c>
      <c r="C36" s="60">
        <v>0</v>
      </c>
      <c r="D36" s="60">
        <v>0</v>
      </c>
      <c r="E36" s="60">
        <v>0</v>
      </c>
      <c r="F36" s="60">
        <v>0</v>
      </c>
      <c r="G36" s="60">
        <v>0</v>
      </c>
      <c r="H36" s="60">
        <v>0</v>
      </c>
      <c r="I36" s="60">
        <v>0</v>
      </c>
      <c r="J36" s="60">
        <v>0</v>
      </c>
      <c r="K36" s="60">
        <v>0</v>
      </c>
      <c r="L36" s="60">
        <v>0</v>
      </c>
      <c r="M36" s="60">
        <v>0</v>
      </c>
      <c r="P36" s="4" t="s">
        <v>16</v>
      </c>
      <c r="Q36" s="4">
        <v>0</v>
      </c>
      <c r="R36" s="4">
        <v>0</v>
      </c>
      <c r="S36" s="4">
        <v>0</v>
      </c>
      <c r="T36" s="4">
        <v>0</v>
      </c>
      <c r="U36" s="4">
        <v>0</v>
      </c>
      <c r="V36" s="4">
        <v>0</v>
      </c>
      <c r="W36" s="4">
        <v>0</v>
      </c>
      <c r="X36" s="4">
        <v>0</v>
      </c>
      <c r="Y36" s="4">
        <v>0</v>
      </c>
      <c r="Z36" s="4">
        <v>0</v>
      </c>
      <c r="AA36" s="4">
        <v>0</v>
      </c>
      <c r="AB36" s="4">
        <v>0</v>
      </c>
    </row>
    <row r="37" spans="1:28" x14ac:dyDescent="0.25">
      <c r="A37" s="4" t="s">
        <v>17</v>
      </c>
      <c r="B37" s="60">
        <v>0</v>
      </c>
      <c r="C37" s="60">
        <v>0</v>
      </c>
      <c r="D37" s="60">
        <v>0</v>
      </c>
      <c r="E37" s="60">
        <v>0</v>
      </c>
      <c r="F37" s="60">
        <v>0</v>
      </c>
      <c r="G37" s="60">
        <v>0</v>
      </c>
      <c r="H37" s="60">
        <v>0</v>
      </c>
      <c r="I37" s="60">
        <v>0</v>
      </c>
      <c r="J37" s="60">
        <v>0</v>
      </c>
      <c r="K37" s="60">
        <v>0</v>
      </c>
      <c r="L37" s="60">
        <v>0</v>
      </c>
      <c r="M37" s="60">
        <v>0</v>
      </c>
      <c r="P37" s="4" t="s">
        <v>17</v>
      </c>
      <c r="Q37" s="4">
        <v>0</v>
      </c>
      <c r="R37" s="4">
        <v>0</v>
      </c>
      <c r="S37" s="4">
        <v>0</v>
      </c>
      <c r="T37" s="4">
        <v>0</v>
      </c>
      <c r="U37" s="4">
        <v>0</v>
      </c>
      <c r="V37" s="4">
        <v>0</v>
      </c>
      <c r="W37" s="4">
        <v>0</v>
      </c>
      <c r="X37" s="4">
        <v>0</v>
      </c>
      <c r="Y37" s="4">
        <v>0</v>
      </c>
      <c r="Z37" s="4">
        <v>0</v>
      </c>
      <c r="AA37" s="4">
        <v>0</v>
      </c>
      <c r="AB37" s="4">
        <v>0</v>
      </c>
    </row>
    <row r="38" spans="1:28" x14ac:dyDescent="0.25">
      <c r="A38" s="4" t="s">
        <v>18</v>
      </c>
      <c r="B38" s="60">
        <v>0</v>
      </c>
      <c r="C38" s="60">
        <v>0</v>
      </c>
      <c r="D38" s="60">
        <v>0</v>
      </c>
      <c r="E38" s="60">
        <v>0</v>
      </c>
      <c r="F38" s="60">
        <v>0</v>
      </c>
      <c r="G38" s="60">
        <v>0</v>
      </c>
      <c r="H38" s="60">
        <v>0</v>
      </c>
      <c r="I38" s="60">
        <v>0</v>
      </c>
      <c r="J38" s="60">
        <v>0</v>
      </c>
      <c r="K38" s="60">
        <v>0</v>
      </c>
      <c r="L38" s="60">
        <v>0</v>
      </c>
      <c r="M38" s="60">
        <v>0</v>
      </c>
      <c r="P38" s="4" t="s">
        <v>18</v>
      </c>
      <c r="Q38" s="4">
        <v>0</v>
      </c>
      <c r="R38" s="4">
        <v>0</v>
      </c>
      <c r="S38" s="4">
        <v>0</v>
      </c>
      <c r="T38" s="4">
        <v>0</v>
      </c>
      <c r="U38" s="4">
        <v>0</v>
      </c>
      <c r="V38" s="4">
        <v>0</v>
      </c>
      <c r="W38" s="4">
        <v>0</v>
      </c>
      <c r="X38" s="4">
        <v>0</v>
      </c>
      <c r="Y38" s="4">
        <v>0</v>
      </c>
      <c r="Z38" s="4">
        <v>0</v>
      </c>
      <c r="AA38" s="4">
        <v>0</v>
      </c>
      <c r="AB38" s="4">
        <v>0</v>
      </c>
    </row>
    <row r="39" spans="1:28" x14ac:dyDescent="0.25">
      <c r="A39" s="4" t="s">
        <v>19</v>
      </c>
      <c r="B39" s="60">
        <v>0</v>
      </c>
      <c r="C39" s="60">
        <v>0</v>
      </c>
      <c r="D39" s="60">
        <v>0</v>
      </c>
      <c r="E39" s="60">
        <v>25.089529814517928</v>
      </c>
      <c r="F39" s="60">
        <v>59.074915965215965</v>
      </c>
      <c r="G39" s="60">
        <v>67.63524091434607</v>
      </c>
      <c r="H39" s="60">
        <v>55.909888105118597</v>
      </c>
      <c r="I39" s="60">
        <v>21.62138421572817</v>
      </c>
      <c r="J39" s="60">
        <v>0</v>
      </c>
      <c r="K39" s="60">
        <v>0</v>
      </c>
      <c r="L39" s="60">
        <v>0</v>
      </c>
      <c r="M39" s="60">
        <v>0</v>
      </c>
      <c r="P39" s="4" t="s">
        <v>19</v>
      </c>
      <c r="Q39" s="4">
        <v>0</v>
      </c>
      <c r="R39" s="4">
        <v>0</v>
      </c>
      <c r="S39" s="4">
        <v>0</v>
      </c>
      <c r="T39" s="4">
        <v>25.089529814517928</v>
      </c>
      <c r="U39" s="4">
        <v>59.074915965215965</v>
      </c>
      <c r="V39" s="4">
        <v>67.63524091434607</v>
      </c>
      <c r="W39" s="4">
        <v>55.909888105118597</v>
      </c>
      <c r="X39" s="4">
        <v>21.62138421572817</v>
      </c>
      <c r="Y39" s="4">
        <v>0</v>
      </c>
      <c r="Z39" s="4">
        <v>0</v>
      </c>
      <c r="AA39" s="4">
        <v>0</v>
      </c>
      <c r="AB39" s="4">
        <v>0</v>
      </c>
    </row>
    <row r="40" spans="1:28" x14ac:dyDescent="0.25">
      <c r="A40" s="4" t="s">
        <v>20</v>
      </c>
      <c r="B40" s="60">
        <v>78.361966881975391</v>
      </c>
      <c r="C40" s="60">
        <v>135.28678250422834</v>
      </c>
      <c r="D40" s="60">
        <v>165.6757513599745</v>
      </c>
      <c r="E40" s="60">
        <v>169.41309878970159</v>
      </c>
      <c r="F40" s="60">
        <v>165.22748137797296</v>
      </c>
      <c r="G40" s="60">
        <v>160.40174292294364</v>
      </c>
      <c r="H40" s="60">
        <v>158.80441795086833</v>
      </c>
      <c r="I40" s="60">
        <v>157.2179027490285</v>
      </c>
      <c r="J40" s="60">
        <v>149.03305362685626</v>
      </c>
      <c r="K40" s="60">
        <v>123.24756599208315</v>
      </c>
      <c r="L40" s="60">
        <v>74.468379789097142</v>
      </c>
      <c r="M40" s="60">
        <v>49.466344386103309</v>
      </c>
      <c r="P40" s="4" t="s">
        <v>20</v>
      </c>
      <c r="Q40" s="4">
        <v>78.361966881975391</v>
      </c>
      <c r="R40" s="4">
        <v>135.28678250422834</v>
      </c>
      <c r="S40" s="4">
        <v>165.6757513599745</v>
      </c>
      <c r="T40" s="4">
        <v>169.41309878970159</v>
      </c>
      <c r="U40" s="4">
        <v>165.22748137797296</v>
      </c>
      <c r="V40" s="4">
        <v>160.40174292294364</v>
      </c>
      <c r="W40" s="4">
        <v>158.80441795086833</v>
      </c>
      <c r="X40" s="4">
        <v>157.2179027490285</v>
      </c>
      <c r="Y40" s="4">
        <v>149.03305362685626</v>
      </c>
      <c r="Z40" s="4">
        <v>123.24756599208315</v>
      </c>
      <c r="AA40" s="4">
        <v>74.468379789097142</v>
      </c>
      <c r="AB40" s="4">
        <v>49.466344386103309</v>
      </c>
    </row>
    <row r="41" spans="1:28" x14ac:dyDescent="0.25">
      <c r="A41" s="4" t="s">
        <v>21</v>
      </c>
      <c r="B41" s="60">
        <v>178.79608944010221</v>
      </c>
      <c r="C41" s="60">
        <v>201.58879929956561</v>
      </c>
      <c r="D41" s="60">
        <v>209.86197567649714</v>
      </c>
      <c r="E41" s="60">
        <v>199.95545396955282</v>
      </c>
      <c r="F41" s="60">
        <v>188.41135269167336</v>
      </c>
      <c r="G41" s="60">
        <v>181.3588829725866</v>
      </c>
      <c r="H41" s="60">
        <v>182.72720310627091</v>
      </c>
      <c r="I41" s="60">
        <v>189.9917422394667</v>
      </c>
      <c r="J41" s="60">
        <v>197.02671995114656</v>
      </c>
      <c r="K41" s="60">
        <v>192.08348142421841</v>
      </c>
      <c r="L41" s="60">
        <v>174.75040667779331</v>
      </c>
      <c r="M41" s="60">
        <v>166.2430593348823</v>
      </c>
      <c r="P41" s="4" t="s">
        <v>21</v>
      </c>
      <c r="Q41" s="4">
        <v>178.79608944010221</v>
      </c>
      <c r="R41" s="4">
        <v>201.58879929956561</v>
      </c>
      <c r="S41" s="4">
        <v>209.86197567649714</v>
      </c>
      <c r="T41" s="4">
        <v>199.95545396955282</v>
      </c>
      <c r="U41" s="4">
        <v>188.41135269167336</v>
      </c>
      <c r="V41" s="4">
        <v>181.3588829725866</v>
      </c>
      <c r="W41" s="4">
        <v>182.72720310627091</v>
      </c>
      <c r="X41" s="4">
        <v>189.9917422394667</v>
      </c>
      <c r="Y41" s="4">
        <v>197.02671995114656</v>
      </c>
      <c r="Z41" s="4">
        <v>192.08348142421841</v>
      </c>
      <c r="AA41" s="4">
        <v>174.75040667779331</v>
      </c>
      <c r="AB41" s="4">
        <v>166.2430593348823</v>
      </c>
    </row>
    <row r="42" spans="1:28" x14ac:dyDescent="0.25">
      <c r="A42" s="4" t="s">
        <v>22</v>
      </c>
      <c r="B42" s="60">
        <v>175.61426354151541</v>
      </c>
      <c r="C42" s="60">
        <v>190.18583454348681</v>
      </c>
      <c r="D42" s="60">
        <v>194.29649430504537</v>
      </c>
      <c r="E42" s="60">
        <v>184.12295291769615</v>
      </c>
      <c r="F42" s="60">
        <v>173.08062570803219</v>
      </c>
      <c r="G42" s="60">
        <v>166.74529528904205</v>
      </c>
      <c r="H42" s="60">
        <v>168.791397589761</v>
      </c>
      <c r="I42" s="60">
        <v>177.02015624152199</v>
      </c>
      <c r="J42" s="60">
        <v>185.23920950193821</v>
      </c>
      <c r="K42" s="60">
        <v>183.71267541145878</v>
      </c>
      <c r="L42" s="60">
        <v>172.90947306834752</v>
      </c>
      <c r="M42" s="60">
        <v>167.41645225467585</v>
      </c>
      <c r="P42" s="4" t="s">
        <v>22</v>
      </c>
      <c r="Q42" s="4">
        <v>175.61426354151541</v>
      </c>
      <c r="R42" s="4">
        <v>190.18583454348681</v>
      </c>
      <c r="S42" s="4">
        <v>194.29649430504537</v>
      </c>
      <c r="T42" s="4">
        <v>184.12295291769615</v>
      </c>
      <c r="U42" s="4">
        <v>173.08062570803219</v>
      </c>
      <c r="V42" s="4">
        <v>166.74529528904205</v>
      </c>
      <c r="W42" s="4">
        <v>168.791397589761</v>
      </c>
      <c r="X42" s="4">
        <v>177.02015624152199</v>
      </c>
      <c r="Y42" s="4">
        <v>185.23920950193821</v>
      </c>
      <c r="Z42" s="4">
        <v>183.71267541145878</v>
      </c>
      <c r="AA42" s="4">
        <v>172.90947306834752</v>
      </c>
      <c r="AB42" s="4">
        <v>167.41645225467585</v>
      </c>
    </row>
    <row r="43" spans="1:28" x14ac:dyDescent="0.25">
      <c r="A43" s="4" t="s">
        <v>23</v>
      </c>
      <c r="B43" s="60">
        <v>134.39767680605436</v>
      </c>
      <c r="C43" s="60">
        <v>145.20213625329981</v>
      </c>
      <c r="D43" s="60">
        <v>148.65775753133659</v>
      </c>
      <c r="E43" s="60">
        <v>141.53628792586076</v>
      </c>
      <c r="F43" s="60">
        <v>133.2746339523419</v>
      </c>
      <c r="G43" s="60">
        <v>128.59216227543274</v>
      </c>
      <c r="H43" s="60">
        <v>130.65916100271798</v>
      </c>
      <c r="I43" s="60">
        <v>137.45426786740973</v>
      </c>
      <c r="J43" s="60">
        <v>143.26895731789782</v>
      </c>
      <c r="K43" s="60">
        <v>141.48285176088598</v>
      </c>
      <c r="L43" s="60">
        <v>132.90443242316798</v>
      </c>
      <c r="M43" s="60">
        <v>128.38440885686947</v>
      </c>
      <c r="P43" s="4" t="s">
        <v>23</v>
      </c>
      <c r="Q43" s="4">
        <v>134.39767680605436</v>
      </c>
      <c r="R43" s="4">
        <v>145.20213625329981</v>
      </c>
      <c r="S43" s="4">
        <v>148.65775753133659</v>
      </c>
      <c r="T43" s="4">
        <v>141.53628792586076</v>
      </c>
      <c r="U43" s="4">
        <v>133.2746339523419</v>
      </c>
      <c r="V43" s="4">
        <v>128.59216227543274</v>
      </c>
      <c r="W43" s="4">
        <v>130.65916100271798</v>
      </c>
      <c r="X43" s="4">
        <v>137.45426786740973</v>
      </c>
      <c r="Y43" s="4">
        <v>143.26895731789782</v>
      </c>
      <c r="Z43" s="4">
        <v>141.48285176088598</v>
      </c>
      <c r="AA43" s="4">
        <v>132.90443242316798</v>
      </c>
      <c r="AB43" s="4">
        <v>128.38440885686947</v>
      </c>
    </row>
    <row r="44" spans="1:28" x14ac:dyDescent="0.25">
      <c r="A44" s="4" t="s">
        <v>24</v>
      </c>
      <c r="B44" s="60">
        <v>72.460414473050164</v>
      </c>
      <c r="C44" s="60">
        <v>78.38541439238125</v>
      </c>
      <c r="D44" s="60">
        <v>81.385418213896713</v>
      </c>
      <c r="E44" s="60">
        <v>79.912745831265482</v>
      </c>
      <c r="F44" s="60">
        <v>77.459246422179831</v>
      </c>
      <c r="G44" s="60">
        <v>75.896097308066672</v>
      </c>
      <c r="H44" s="60">
        <v>76.868048270894917</v>
      </c>
      <c r="I44" s="60">
        <v>79.213302437378516</v>
      </c>
      <c r="J44" s="60">
        <v>79.907047244440392</v>
      </c>
      <c r="K44" s="60">
        <v>77.392468176013367</v>
      </c>
      <c r="L44" s="60">
        <v>72.068954181874957</v>
      </c>
      <c r="M44" s="60">
        <v>69.261510593889611</v>
      </c>
      <c r="P44" s="4" t="s">
        <v>24</v>
      </c>
      <c r="Q44" s="4">
        <v>72.460414473050164</v>
      </c>
      <c r="R44" s="4">
        <v>78.38541439238125</v>
      </c>
      <c r="S44" s="4">
        <v>81.385418213896713</v>
      </c>
      <c r="T44" s="4">
        <v>79.912745831265482</v>
      </c>
      <c r="U44" s="4">
        <v>77.459246422179831</v>
      </c>
      <c r="V44" s="4">
        <v>75.896097308066672</v>
      </c>
      <c r="W44" s="4">
        <v>76.868048270894917</v>
      </c>
      <c r="X44" s="4">
        <v>79.213302437378516</v>
      </c>
      <c r="Y44" s="4">
        <v>79.907047244440392</v>
      </c>
      <c r="Z44" s="4">
        <v>77.392468176013367</v>
      </c>
      <c r="AA44" s="4">
        <v>72.068954181874957</v>
      </c>
      <c r="AB44" s="4">
        <v>69.261510593889611</v>
      </c>
    </row>
    <row r="45" spans="1:28" x14ac:dyDescent="0.25">
      <c r="A45" s="4" t="s">
        <v>25</v>
      </c>
      <c r="B45" s="60">
        <v>25.653400557325135</v>
      </c>
      <c r="C45" s="60">
        <v>28.31106422133174</v>
      </c>
      <c r="D45" s="60">
        <v>31.142626408891559</v>
      </c>
      <c r="E45" s="60">
        <v>33.876810233597908</v>
      </c>
      <c r="F45" s="60">
        <v>35.749364193186622</v>
      </c>
      <c r="G45" s="60">
        <v>36.480113794806527</v>
      </c>
      <c r="H45" s="60">
        <v>36.567881940695237</v>
      </c>
      <c r="I45" s="60">
        <v>35.47998754034171</v>
      </c>
      <c r="J45" s="60">
        <v>32.298509500483625</v>
      </c>
      <c r="K45" s="60">
        <v>29.116090201735393</v>
      </c>
      <c r="L45" s="60">
        <v>25.974958779935829</v>
      </c>
      <c r="M45" s="60">
        <v>24.362807691601375</v>
      </c>
      <c r="P45" s="4" t="s">
        <v>25</v>
      </c>
      <c r="Q45" s="4">
        <v>25.653400557325135</v>
      </c>
      <c r="R45" s="4">
        <v>28.31106422133174</v>
      </c>
      <c r="S45" s="4">
        <v>31.142626408891559</v>
      </c>
      <c r="T45" s="4">
        <v>33.876810233597908</v>
      </c>
      <c r="U45" s="4">
        <v>35.749364193186622</v>
      </c>
      <c r="V45" s="4">
        <v>36.480113794806527</v>
      </c>
      <c r="W45" s="4">
        <v>36.567881940695237</v>
      </c>
      <c r="X45" s="4">
        <v>35.47998754034171</v>
      </c>
      <c r="Y45" s="4">
        <v>32.298509500483625</v>
      </c>
      <c r="Z45" s="4">
        <v>29.116090201735393</v>
      </c>
      <c r="AA45" s="4">
        <v>25.974958779935829</v>
      </c>
      <c r="AB45" s="4">
        <v>24.362807691601375</v>
      </c>
    </row>
    <row r="46" spans="1:28" x14ac:dyDescent="0.25">
      <c r="A46" s="4" t="s">
        <v>26</v>
      </c>
      <c r="B46" s="60">
        <v>24.765065245997299</v>
      </c>
      <c r="C46" s="60">
        <v>27.402093297654179</v>
      </c>
      <c r="D46" s="60">
        <v>30.235211455568081</v>
      </c>
      <c r="E46" s="60">
        <v>33.006814299120826</v>
      </c>
      <c r="F46" s="60">
        <v>34.918573778704499</v>
      </c>
      <c r="G46" s="60">
        <v>35.668771018061314</v>
      </c>
      <c r="H46" s="60">
        <v>35.740476354876328</v>
      </c>
      <c r="I46" s="60">
        <v>34.609822706378253</v>
      </c>
      <c r="J46" s="60">
        <v>31.396211231644187</v>
      </c>
      <c r="K46" s="60">
        <v>28.208172435871568</v>
      </c>
      <c r="L46" s="60">
        <v>25.08589702038174</v>
      </c>
      <c r="M46" s="60">
        <v>23.489423034102295</v>
      </c>
      <c r="P46" s="4" t="s">
        <v>26</v>
      </c>
      <c r="Q46" s="4">
        <v>24.765065245997299</v>
      </c>
      <c r="R46" s="4">
        <v>27.402093297654179</v>
      </c>
      <c r="S46" s="4">
        <v>30.235211455568081</v>
      </c>
      <c r="T46" s="4">
        <v>33.006814299120826</v>
      </c>
      <c r="U46" s="4">
        <v>34.918573778704499</v>
      </c>
      <c r="V46" s="4">
        <v>35.668771018061314</v>
      </c>
      <c r="W46" s="4">
        <v>35.740476354876328</v>
      </c>
      <c r="X46" s="4">
        <v>34.609822706378253</v>
      </c>
      <c r="Y46" s="4">
        <v>31.396211231644187</v>
      </c>
      <c r="Z46" s="4">
        <v>28.208172435871568</v>
      </c>
      <c r="AA46" s="4">
        <v>25.08589702038174</v>
      </c>
      <c r="AB46" s="4">
        <v>23.489423034102295</v>
      </c>
    </row>
    <row r="47" spans="1:28" x14ac:dyDescent="0.25">
      <c r="A47" s="4" t="s">
        <v>27</v>
      </c>
      <c r="B47" s="60">
        <v>22.137322048590832</v>
      </c>
      <c r="C47" s="60">
        <v>24.718198351510008</v>
      </c>
      <c r="D47" s="60">
        <v>27.556010630677822</v>
      </c>
      <c r="E47" s="60">
        <v>30.433074443502203</v>
      </c>
      <c r="F47" s="60">
        <v>32.456081740356836</v>
      </c>
      <c r="G47" s="60">
        <v>33.261145070130041</v>
      </c>
      <c r="H47" s="60">
        <v>33.283982381051885</v>
      </c>
      <c r="I47" s="60">
        <v>32.027869561652523</v>
      </c>
      <c r="J47" s="60">
        <v>28.72422749123773</v>
      </c>
      <c r="K47" s="60">
        <v>25.52159225965022</v>
      </c>
      <c r="L47" s="60">
        <v>22.453314110287742</v>
      </c>
      <c r="M47" s="60">
        <v>20.903441168166516</v>
      </c>
      <c r="P47" s="4" t="s">
        <v>27</v>
      </c>
      <c r="Q47" s="4">
        <v>22.137322048590832</v>
      </c>
      <c r="R47" s="4">
        <v>24.718198351510008</v>
      </c>
      <c r="S47" s="4">
        <v>27.556010630677822</v>
      </c>
      <c r="T47" s="4">
        <v>30.433074443502203</v>
      </c>
      <c r="U47" s="4">
        <v>32.456081740356836</v>
      </c>
      <c r="V47" s="4">
        <v>33.261145070130041</v>
      </c>
      <c r="W47" s="4">
        <v>33.283982381051885</v>
      </c>
      <c r="X47" s="4">
        <v>32.027869561652523</v>
      </c>
      <c r="Y47" s="4">
        <v>28.72422749123773</v>
      </c>
      <c r="Z47" s="4">
        <v>25.52159225965022</v>
      </c>
      <c r="AA47" s="4">
        <v>22.453314110287742</v>
      </c>
      <c r="AB47" s="4">
        <v>20.903441168166516</v>
      </c>
    </row>
    <row r="48" spans="1:28" x14ac:dyDescent="0.25">
      <c r="A48" s="4" t="s">
        <v>28</v>
      </c>
      <c r="B48" s="60">
        <v>17.854596251304439</v>
      </c>
      <c r="C48" s="60">
        <v>20.367392714218369</v>
      </c>
      <c r="D48" s="60">
        <v>23.21544856561151</v>
      </c>
      <c r="E48" s="60">
        <v>26.245250547626185</v>
      </c>
      <c r="F48" s="60">
        <v>28.432292764009524</v>
      </c>
      <c r="G48" s="60">
        <v>29.317026609904772</v>
      </c>
      <c r="H48" s="60">
        <v>29.254485375662643</v>
      </c>
      <c r="I48" s="60">
        <v>27.796325735274863</v>
      </c>
      <c r="J48" s="60">
        <v>24.363154656720017</v>
      </c>
      <c r="K48" s="60">
        <v>21.142278295800242</v>
      </c>
      <c r="L48" s="60">
        <v>18.151314990730885</v>
      </c>
      <c r="M48" s="60">
        <v>16.676861410217381</v>
      </c>
      <c r="P48" s="4" t="s">
        <v>28</v>
      </c>
      <c r="Q48" s="4">
        <v>17.854596251304439</v>
      </c>
      <c r="R48" s="4">
        <v>20.367392714218369</v>
      </c>
      <c r="S48" s="4">
        <v>23.21544856561151</v>
      </c>
      <c r="T48" s="4">
        <v>26.245250547626185</v>
      </c>
      <c r="U48" s="4">
        <v>28.432292764009524</v>
      </c>
      <c r="V48" s="4">
        <v>29.317026609904772</v>
      </c>
      <c r="W48" s="4">
        <v>29.254485375662643</v>
      </c>
      <c r="X48" s="4">
        <v>27.796325735274863</v>
      </c>
      <c r="Y48" s="4">
        <v>24.363154656720017</v>
      </c>
      <c r="Z48" s="4">
        <v>21.142278295800242</v>
      </c>
      <c r="AA48" s="4">
        <v>18.151314990730885</v>
      </c>
      <c r="AB48" s="4">
        <v>16.676861410217381</v>
      </c>
    </row>
    <row r="49" spans="1:28" x14ac:dyDescent="0.25">
      <c r="A49" s="4" t="s">
        <v>29</v>
      </c>
      <c r="B49" s="60">
        <v>11.898627605320891</v>
      </c>
      <c r="C49" s="60">
        <v>14.416310488954947</v>
      </c>
      <c r="D49" s="60">
        <v>17.3033322214654</v>
      </c>
      <c r="E49" s="60">
        <v>20.501504858292144</v>
      </c>
      <c r="F49" s="60">
        <v>22.875659196390654</v>
      </c>
      <c r="G49" s="60">
        <v>23.847631232217044</v>
      </c>
      <c r="H49" s="60">
        <v>23.648088691669312</v>
      </c>
      <c r="I49" s="60">
        <v>21.906577624265662</v>
      </c>
      <c r="J49" s="60">
        <v>18.324495648777781</v>
      </c>
      <c r="K49" s="60">
        <v>15.075119194655567</v>
      </c>
      <c r="L49" s="60">
        <v>12.131403870791841</v>
      </c>
      <c r="M49" s="60">
        <v>10.747254065608505</v>
      </c>
      <c r="P49" s="4" t="s">
        <v>29</v>
      </c>
      <c r="Q49" s="4">
        <v>11.898627605320891</v>
      </c>
      <c r="R49" s="4">
        <v>14.416310488954947</v>
      </c>
      <c r="S49" s="4">
        <v>17.3033322214654</v>
      </c>
      <c r="T49" s="4">
        <v>20.501504858292144</v>
      </c>
      <c r="U49" s="4">
        <v>22.875659196390654</v>
      </c>
      <c r="V49" s="4">
        <v>23.847631232217044</v>
      </c>
      <c r="W49" s="4">
        <v>23.648088691669312</v>
      </c>
      <c r="X49" s="4">
        <v>21.906577624265662</v>
      </c>
      <c r="Y49" s="4">
        <v>18.324495648777781</v>
      </c>
      <c r="Z49" s="4">
        <v>15.075119194655567</v>
      </c>
      <c r="AA49" s="4">
        <v>12.131403870791841</v>
      </c>
      <c r="AB49" s="4">
        <v>10.747254065608505</v>
      </c>
    </row>
    <row r="50" spans="1:28" x14ac:dyDescent="0.25">
      <c r="A50" s="4" t="s">
        <v>30</v>
      </c>
      <c r="B50" s="60">
        <v>3.2643025421359506</v>
      </c>
      <c r="C50" s="60">
        <v>6.3064278345249818</v>
      </c>
      <c r="D50" s="60">
        <v>9.4768970366820042</v>
      </c>
      <c r="E50" s="60">
        <v>12.888516402773119</v>
      </c>
      <c r="F50" s="60">
        <v>15.473771803871747</v>
      </c>
      <c r="G50" s="60">
        <v>16.531092492641616</v>
      </c>
      <c r="H50" s="60">
        <v>16.078007387430628</v>
      </c>
      <c r="I50" s="60">
        <v>13.871131483719628</v>
      </c>
      <c r="J50" s="60">
        <v>10.025566222850811</v>
      </c>
      <c r="K50" s="60">
        <v>6.5614481275103991</v>
      </c>
      <c r="L50" s="60">
        <v>3.3043798240756006</v>
      </c>
      <c r="M50" s="60">
        <v>1.967034567626188</v>
      </c>
      <c r="P50" s="4" t="s">
        <v>30</v>
      </c>
      <c r="Q50" s="4">
        <v>3.2643025421359506</v>
      </c>
      <c r="R50" s="4">
        <v>6.3064278345249818</v>
      </c>
      <c r="S50" s="4">
        <v>9.4768970366820042</v>
      </c>
      <c r="T50" s="4">
        <v>12.888516402773119</v>
      </c>
      <c r="U50" s="4">
        <v>15.473771803871747</v>
      </c>
      <c r="V50" s="4">
        <v>16.531092492641616</v>
      </c>
      <c r="W50" s="4">
        <v>16.078007387430628</v>
      </c>
      <c r="X50" s="4">
        <v>13.871131483719628</v>
      </c>
      <c r="Y50" s="4">
        <v>10.025566222850811</v>
      </c>
      <c r="Z50" s="4">
        <v>6.5614481275103991</v>
      </c>
      <c r="AA50" s="4">
        <v>3.3043798240756006</v>
      </c>
      <c r="AB50" s="4">
        <v>1.967034567626188</v>
      </c>
    </row>
    <row r="51" spans="1:28" x14ac:dyDescent="0.25">
      <c r="A51" s="4" t="s">
        <v>31</v>
      </c>
      <c r="B51" s="60">
        <v>0</v>
      </c>
      <c r="C51" s="60">
        <v>0</v>
      </c>
      <c r="D51" s="60">
        <v>0</v>
      </c>
      <c r="E51" s="60">
        <v>1.3945002049031501</v>
      </c>
      <c r="F51" s="60">
        <v>4.3212368538429198</v>
      </c>
      <c r="G51" s="60">
        <v>5.5852153104049886</v>
      </c>
      <c r="H51" s="60">
        <v>4.5185729195115032</v>
      </c>
      <c r="I51" s="60">
        <v>1.4682678037771086</v>
      </c>
      <c r="J51" s="60">
        <v>0</v>
      </c>
      <c r="K51" s="60">
        <v>0</v>
      </c>
      <c r="L51" s="60">
        <v>0</v>
      </c>
      <c r="M51" s="60">
        <v>0</v>
      </c>
      <c r="P51" s="4" t="s">
        <v>31</v>
      </c>
      <c r="Q51" s="4">
        <v>0</v>
      </c>
      <c r="R51" s="4">
        <v>0</v>
      </c>
      <c r="S51" s="4">
        <v>0</v>
      </c>
      <c r="T51" s="4">
        <v>1.3945002049031501</v>
      </c>
      <c r="U51" s="4">
        <v>4.3212368538429198</v>
      </c>
      <c r="V51" s="4">
        <v>5.5852153104049886</v>
      </c>
      <c r="W51" s="4">
        <v>4.5185729195115032</v>
      </c>
      <c r="X51" s="4">
        <v>1.4682678037771086</v>
      </c>
      <c r="Y51" s="4">
        <v>0</v>
      </c>
      <c r="Z51" s="4">
        <v>0</v>
      </c>
      <c r="AA51" s="4">
        <v>0</v>
      </c>
      <c r="AB51" s="4">
        <v>0</v>
      </c>
    </row>
    <row r="52" spans="1:28" x14ac:dyDescent="0.25">
      <c r="A52" s="4" t="s">
        <v>32</v>
      </c>
      <c r="B52" s="60">
        <v>0</v>
      </c>
      <c r="C52" s="60">
        <v>0</v>
      </c>
      <c r="D52" s="60">
        <v>0</v>
      </c>
      <c r="E52" s="60">
        <v>0</v>
      </c>
      <c r="F52" s="60">
        <v>0</v>
      </c>
      <c r="G52" s="60">
        <v>0</v>
      </c>
      <c r="H52" s="60">
        <v>0</v>
      </c>
      <c r="I52" s="60">
        <v>0</v>
      </c>
      <c r="J52" s="60">
        <v>0</v>
      </c>
      <c r="K52" s="60">
        <v>0</v>
      </c>
      <c r="L52" s="60">
        <v>0</v>
      </c>
      <c r="M52" s="60">
        <v>0</v>
      </c>
      <c r="P52" s="4" t="s">
        <v>32</v>
      </c>
      <c r="Q52" s="4">
        <v>0</v>
      </c>
      <c r="R52" s="4">
        <v>0</v>
      </c>
      <c r="S52" s="4">
        <v>0</v>
      </c>
      <c r="T52" s="4">
        <v>0</v>
      </c>
      <c r="U52" s="4">
        <v>0</v>
      </c>
      <c r="V52" s="4">
        <v>0</v>
      </c>
      <c r="W52" s="4">
        <v>0</v>
      </c>
      <c r="X52" s="4">
        <v>0</v>
      </c>
      <c r="Y52" s="4">
        <v>0</v>
      </c>
      <c r="Z52" s="4">
        <v>0</v>
      </c>
      <c r="AA52" s="4">
        <v>0</v>
      </c>
      <c r="AB52" s="4">
        <v>0</v>
      </c>
    </row>
    <row r="53" spans="1:28" x14ac:dyDescent="0.25">
      <c r="A53" s="4" t="s">
        <v>33</v>
      </c>
      <c r="B53" s="60">
        <v>0</v>
      </c>
      <c r="C53" s="60">
        <v>0</v>
      </c>
      <c r="D53" s="60">
        <v>0</v>
      </c>
      <c r="E53" s="60">
        <v>0</v>
      </c>
      <c r="F53" s="60">
        <v>0</v>
      </c>
      <c r="G53" s="60">
        <v>0</v>
      </c>
      <c r="H53" s="60">
        <v>0</v>
      </c>
      <c r="I53" s="60">
        <v>0</v>
      </c>
      <c r="J53" s="60">
        <v>0</v>
      </c>
      <c r="K53" s="60">
        <v>0</v>
      </c>
      <c r="L53" s="60">
        <v>0</v>
      </c>
      <c r="M53" s="60">
        <v>0</v>
      </c>
      <c r="P53" s="4" t="s">
        <v>33</v>
      </c>
      <c r="Q53" s="4">
        <v>0</v>
      </c>
      <c r="R53" s="4">
        <v>0</v>
      </c>
      <c r="S53" s="4">
        <v>0</v>
      </c>
      <c r="T53" s="4">
        <v>0</v>
      </c>
      <c r="U53" s="4">
        <v>0</v>
      </c>
      <c r="V53" s="4">
        <v>0</v>
      </c>
      <c r="W53" s="4">
        <v>0</v>
      </c>
      <c r="X53" s="4">
        <v>0</v>
      </c>
      <c r="Y53" s="4">
        <v>0</v>
      </c>
      <c r="Z53" s="4">
        <v>0</v>
      </c>
      <c r="AA53" s="4">
        <v>0</v>
      </c>
      <c r="AB53" s="4">
        <v>0</v>
      </c>
    </row>
    <row r="54" spans="1:28" x14ac:dyDescent="0.25">
      <c r="A54" s="4" t="s">
        <v>34</v>
      </c>
      <c r="B54" s="60">
        <v>0</v>
      </c>
      <c r="C54" s="60">
        <v>0</v>
      </c>
      <c r="D54" s="60">
        <v>0</v>
      </c>
      <c r="E54" s="60">
        <v>0</v>
      </c>
      <c r="F54" s="60">
        <v>0</v>
      </c>
      <c r="G54" s="60">
        <v>0</v>
      </c>
      <c r="H54" s="60">
        <v>0</v>
      </c>
      <c r="I54" s="60">
        <v>0</v>
      </c>
      <c r="J54" s="60">
        <v>0</v>
      </c>
      <c r="K54" s="60">
        <v>0</v>
      </c>
      <c r="L54" s="60">
        <v>0</v>
      </c>
      <c r="M54" s="60">
        <v>0</v>
      </c>
      <c r="P54" s="4" t="s">
        <v>34</v>
      </c>
      <c r="Q54" s="4">
        <v>0</v>
      </c>
      <c r="R54" s="4">
        <v>0</v>
      </c>
      <c r="S54" s="4">
        <v>0</v>
      </c>
      <c r="T54" s="4">
        <v>0</v>
      </c>
      <c r="U54" s="4">
        <v>0</v>
      </c>
      <c r="V54" s="4">
        <v>0</v>
      </c>
      <c r="W54" s="4">
        <v>0</v>
      </c>
      <c r="X54" s="4">
        <v>0</v>
      </c>
      <c r="Y54" s="4">
        <v>0</v>
      </c>
      <c r="Z54" s="4">
        <v>0</v>
      </c>
      <c r="AA54" s="4">
        <v>0</v>
      </c>
      <c r="AB54" s="4">
        <v>0</v>
      </c>
    </row>
    <row r="55" spans="1:28" x14ac:dyDescent="0.25">
      <c r="A55" s="4" t="s">
        <v>35</v>
      </c>
      <c r="B55" s="60">
        <v>0</v>
      </c>
      <c r="C55" s="60">
        <v>0</v>
      </c>
      <c r="D55" s="60">
        <v>0</v>
      </c>
      <c r="E55" s="60">
        <v>0</v>
      </c>
      <c r="F55" s="60">
        <v>0</v>
      </c>
      <c r="G55" s="60">
        <v>0</v>
      </c>
      <c r="H55" s="60">
        <v>0</v>
      </c>
      <c r="I55" s="60">
        <v>0</v>
      </c>
      <c r="J55" s="60">
        <v>0</v>
      </c>
      <c r="K55" s="60">
        <v>0</v>
      </c>
      <c r="L55" s="60">
        <v>0</v>
      </c>
      <c r="M55" s="60">
        <v>0</v>
      </c>
      <c r="P55" s="4" t="s">
        <v>35</v>
      </c>
      <c r="Q55" s="4">
        <v>0</v>
      </c>
      <c r="R55" s="4">
        <v>0</v>
      </c>
      <c r="S55" s="4">
        <v>0</v>
      </c>
      <c r="T55" s="4">
        <v>0</v>
      </c>
      <c r="U55" s="4">
        <v>0</v>
      </c>
      <c r="V55" s="4">
        <v>0</v>
      </c>
      <c r="W55" s="4">
        <v>0</v>
      </c>
      <c r="X55" s="4">
        <v>0</v>
      </c>
      <c r="Y55" s="4">
        <v>0</v>
      </c>
      <c r="Z55" s="4">
        <v>0</v>
      </c>
      <c r="AA55" s="4">
        <v>0</v>
      </c>
      <c r="AB55" s="4">
        <v>0</v>
      </c>
    </row>
    <row r="56" spans="1:28" x14ac:dyDescent="0.25">
      <c r="A56" s="4" t="s">
        <v>36</v>
      </c>
      <c r="B56" s="60">
        <v>0</v>
      </c>
      <c r="C56" s="60">
        <v>0</v>
      </c>
      <c r="D56" s="60">
        <v>0</v>
      </c>
      <c r="E56" s="60">
        <v>0</v>
      </c>
      <c r="F56" s="60">
        <v>0</v>
      </c>
      <c r="G56" s="60">
        <v>0</v>
      </c>
      <c r="H56" s="60">
        <v>0</v>
      </c>
      <c r="I56" s="60">
        <v>0</v>
      </c>
      <c r="J56" s="60">
        <v>0</v>
      </c>
      <c r="K56" s="60">
        <v>0</v>
      </c>
      <c r="L56" s="60">
        <v>0</v>
      </c>
      <c r="M56" s="60">
        <v>0</v>
      </c>
      <c r="P56" s="4" t="s">
        <v>36</v>
      </c>
      <c r="Q56" s="4">
        <v>0</v>
      </c>
      <c r="R56" s="4">
        <v>0</v>
      </c>
      <c r="S56" s="4">
        <v>0</v>
      </c>
      <c r="T56" s="4">
        <v>0</v>
      </c>
      <c r="U56" s="4">
        <v>0</v>
      </c>
      <c r="V56" s="4">
        <v>0</v>
      </c>
      <c r="W56" s="4">
        <v>0</v>
      </c>
      <c r="X56" s="4">
        <v>0</v>
      </c>
      <c r="Y56" s="4">
        <v>0</v>
      </c>
      <c r="Z56" s="4">
        <v>0</v>
      </c>
      <c r="AA56" s="4">
        <v>0</v>
      </c>
      <c r="AB56" s="4">
        <v>0</v>
      </c>
    </row>
    <row r="57" spans="1:28" x14ac:dyDescent="0.25">
      <c r="B57" s="61"/>
      <c r="C57" s="61"/>
      <c r="D57" s="61"/>
      <c r="E57" s="61"/>
      <c r="F57" s="61"/>
      <c r="G57" s="61"/>
    </row>
    <row r="59" spans="1:28" x14ac:dyDescent="0.25">
      <c r="A59" s="4" t="s">
        <v>92</v>
      </c>
      <c r="P59" s="4" t="s">
        <v>92</v>
      </c>
    </row>
    <row r="60" spans="1:28" x14ac:dyDescent="0.25">
      <c r="A60" s="4"/>
    </row>
    <row r="61" spans="1:28" x14ac:dyDescent="0.25">
      <c r="A61" s="4"/>
      <c r="B61" s="60" t="s">
        <v>1</v>
      </c>
      <c r="C61" s="60" t="s">
        <v>2</v>
      </c>
      <c r="D61" s="60" t="s">
        <v>3</v>
      </c>
      <c r="E61" s="60" t="s">
        <v>4</v>
      </c>
      <c r="F61" s="60" t="s">
        <v>5</v>
      </c>
      <c r="G61" s="60" t="s">
        <v>6</v>
      </c>
      <c r="H61" s="60" t="s">
        <v>7</v>
      </c>
      <c r="I61" s="60" t="s">
        <v>8</v>
      </c>
      <c r="J61" s="60" t="s">
        <v>9</v>
      </c>
      <c r="K61" s="60" t="s">
        <v>10</v>
      </c>
      <c r="L61" s="60" t="s">
        <v>11</v>
      </c>
      <c r="M61" s="60" t="s">
        <v>12</v>
      </c>
      <c r="Q61" s="4" t="s">
        <v>1</v>
      </c>
      <c r="R61" s="4" t="s">
        <v>2</v>
      </c>
      <c r="S61" s="4" t="s">
        <v>3</v>
      </c>
      <c r="T61" s="4" t="s">
        <v>4</v>
      </c>
      <c r="U61" s="4" t="s">
        <v>5</v>
      </c>
      <c r="V61" s="4" t="s">
        <v>6</v>
      </c>
      <c r="W61" s="4" t="s">
        <v>7</v>
      </c>
      <c r="X61" s="4" t="s">
        <v>8</v>
      </c>
      <c r="Y61" s="4" t="s">
        <v>9</v>
      </c>
      <c r="Z61" s="4" t="s">
        <v>10</v>
      </c>
      <c r="AA61" s="4" t="s">
        <v>11</v>
      </c>
      <c r="AB61" s="4" t="s">
        <v>12</v>
      </c>
    </row>
    <row r="62" spans="1:28" x14ac:dyDescent="0.25">
      <c r="A62" s="4" t="s">
        <v>13</v>
      </c>
      <c r="B62" s="60">
        <v>0</v>
      </c>
      <c r="C62" s="60">
        <v>0</v>
      </c>
      <c r="D62" s="60">
        <v>0</v>
      </c>
      <c r="E62" s="60">
        <v>0</v>
      </c>
      <c r="F62" s="60">
        <v>0</v>
      </c>
      <c r="G62" s="60">
        <v>0</v>
      </c>
      <c r="H62" s="60">
        <v>0</v>
      </c>
      <c r="I62" s="60">
        <v>0</v>
      </c>
      <c r="J62" s="60">
        <v>0</v>
      </c>
      <c r="K62" s="60">
        <v>0</v>
      </c>
      <c r="L62" s="60">
        <v>0</v>
      </c>
      <c r="M62" s="60">
        <v>0</v>
      </c>
      <c r="P62" s="4" t="s">
        <v>13</v>
      </c>
      <c r="Q62" s="4">
        <v>0</v>
      </c>
      <c r="R62" s="4">
        <v>0</v>
      </c>
      <c r="S62" s="4">
        <v>0</v>
      </c>
      <c r="T62" s="4">
        <v>0</v>
      </c>
      <c r="U62" s="4">
        <v>0</v>
      </c>
      <c r="V62" s="4">
        <v>0</v>
      </c>
      <c r="W62" s="4">
        <v>0</v>
      </c>
      <c r="X62" s="4">
        <v>0</v>
      </c>
      <c r="Y62" s="4">
        <v>0</v>
      </c>
      <c r="Z62" s="4">
        <v>0</v>
      </c>
      <c r="AA62" s="4">
        <v>0</v>
      </c>
      <c r="AB62" s="4">
        <v>0</v>
      </c>
    </row>
    <row r="63" spans="1:28" x14ac:dyDescent="0.25">
      <c r="A63" s="4" t="s">
        <v>14</v>
      </c>
      <c r="B63" s="60">
        <v>0</v>
      </c>
      <c r="C63" s="60">
        <v>0</v>
      </c>
      <c r="D63" s="60">
        <v>0</v>
      </c>
      <c r="E63" s="60">
        <v>0</v>
      </c>
      <c r="F63" s="60">
        <v>0</v>
      </c>
      <c r="G63" s="60">
        <v>0</v>
      </c>
      <c r="H63" s="60">
        <v>0</v>
      </c>
      <c r="I63" s="60">
        <v>0</v>
      </c>
      <c r="J63" s="60">
        <v>0</v>
      </c>
      <c r="K63" s="60">
        <v>0</v>
      </c>
      <c r="L63" s="60">
        <v>0</v>
      </c>
      <c r="M63" s="60">
        <v>0</v>
      </c>
      <c r="P63" s="4" t="s">
        <v>14</v>
      </c>
      <c r="Q63" s="4">
        <v>0</v>
      </c>
      <c r="R63" s="4">
        <v>0</v>
      </c>
      <c r="S63" s="4">
        <v>0</v>
      </c>
      <c r="T63" s="4">
        <v>0</v>
      </c>
      <c r="U63" s="4">
        <v>0</v>
      </c>
      <c r="V63" s="4">
        <v>0</v>
      </c>
      <c r="W63" s="4">
        <v>0</v>
      </c>
      <c r="X63" s="4">
        <v>0</v>
      </c>
      <c r="Y63" s="4">
        <v>0</v>
      </c>
      <c r="Z63" s="4">
        <v>0</v>
      </c>
      <c r="AA63" s="4">
        <v>0</v>
      </c>
      <c r="AB63" s="4">
        <v>0</v>
      </c>
    </row>
    <row r="64" spans="1:28" x14ac:dyDescent="0.25">
      <c r="A64" s="4" t="s">
        <v>15</v>
      </c>
      <c r="B64" s="60">
        <v>0</v>
      </c>
      <c r="C64" s="60">
        <v>0</v>
      </c>
      <c r="D64" s="60">
        <v>0</v>
      </c>
      <c r="E64" s="60">
        <v>0</v>
      </c>
      <c r="F64" s="60">
        <v>0</v>
      </c>
      <c r="G64" s="60">
        <v>0</v>
      </c>
      <c r="H64" s="60">
        <v>0</v>
      </c>
      <c r="I64" s="60">
        <v>0</v>
      </c>
      <c r="J64" s="60">
        <v>0</v>
      </c>
      <c r="K64" s="60">
        <v>0</v>
      </c>
      <c r="L64" s="60">
        <v>0</v>
      </c>
      <c r="M64" s="60">
        <v>0</v>
      </c>
      <c r="P64" s="4" t="s">
        <v>15</v>
      </c>
      <c r="Q64" s="4">
        <v>0</v>
      </c>
      <c r="R64" s="4">
        <v>0</v>
      </c>
      <c r="S64" s="4">
        <v>0</v>
      </c>
      <c r="T64" s="4">
        <v>0</v>
      </c>
      <c r="U64" s="4">
        <v>0</v>
      </c>
      <c r="V64" s="4">
        <v>0</v>
      </c>
      <c r="W64" s="4">
        <v>0</v>
      </c>
      <c r="X64" s="4">
        <v>0</v>
      </c>
      <c r="Y64" s="4">
        <v>0</v>
      </c>
      <c r="Z64" s="4">
        <v>0</v>
      </c>
      <c r="AA64" s="4">
        <v>0</v>
      </c>
      <c r="AB64" s="4">
        <v>0</v>
      </c>
    </row>
    <row r="65" spans="1:28" x14ac:dyDescent="0.25">
      <c r="A65" s="4" t="s">
        <v>16</v>
      </c>
      <c r="B65" s="60">
        <v>0</v>
      </c>
      <c r="C65" s="60">
        <v>0</v>
      </c>
      <c r="D65" s="60">
        <v>0</v>
      </c>
      <c r="E65" s="60">
        <v>0</v>
      </c>
      <c r="F65" s="60">
        <v>0</v>
      </c>
      <c r="G65" s="60">
        <v>0</v>
      </c>
      <c r="H65" s="60">
        <v>0</v>
      </c>
      <c r="I65" s="60">
        <v>0</v>
      </c>
      <c r="J65" s="60">
        <v>0</v>
      </c>
      <c r="K65" s="60">
        <v>0</v>
      </c>
      <c r="L65" s="60">
        <v>0</v>
      </c>
      <c r="M65" s="60">
        <v>0</v>
      </c>
      <c r="P65" s="4" t="s">
        <v>16</v>
      </c>
      <c r="Q65" s="4">
        <v>0</v>
      </c>
      <c r="R65" s="4">
        <v>0</v>
      </c>
      <c r="S65" s="4">
        <v>0</v>
      </c>
      <c r="T65" s="4">
        <v>0</v>
      </c>
      <c r="U65" s="4">
        <v>0</v>
      </c>
      <c r="V65" s="4">
        <v>0</v>
      </c>
      <c r="W65" s="4">
        <v>0</v>
      </c>
      <c r="X65" s="4">
        <v>0</v>
      </c>
      <c r="Y65" s="4">
        <v>0</v>
      </c>
      <c r="Z65" s="4">
        <v>0</v>
      </c>
      <c r="AA65" s="4">
        <v>0</v>
      </c>
      <c r="AB65" s="4">
        <v>0</v>
      </c>
    </row>
    <row r="66" spans="1:28" x14ac:dyDescent="0.25">
      <c r="A66" s="4" t="s">
        <v>17</v>
      </c>
      <c r="B66" s="60">
        <v>0</v>
      </c>
      <c r="C66" s="60">
        <v>0</v>
      </c>
      <c r="D66" s="60">
        <v>0</v>
      </c>
      <c r="E66" s="60">
        <v>0</v>
      </c>
      <c r="F66" s="60">
        <v>0</v>
      </c>
      <c r="G66" s="60">
        <v>0</v>
      </c>
      <c r="H66" s="60">
        <v>0</v>
      </c>
      <c r="I66" s="60">
        <v>0</v>
      </c>
      <c r="J66" s="60">
        <v>0</v>
      </c>
      <c r="K66" s="60">
        <v>0</v>
      </c>
      <c r="L66" s="60">
        <v>0</v>
      </c>
      <c r="M66" s="60">
        <v>0</v>
      </c>
      <c r="P66" s="4" t="s">
        <v>17</v>
      </c>
      <c r="Q66" s="4">
        <v>0</v>
      </c>
      <c r="R66" s="4">
        <v>0</v>
      </c>
      <c r="S66" s="4">
        <v>0</v>
      </c>
      <c r="T66" s="4">
        <v>0</v>
      </c>
      <c r="U66" s="4">
        <v>0</v>
      </c>
      <c r="V66" s="4">
        <v>0</v>
      </c>
      <c r="W66" s="4">
        <v>0</v>
      </c>
      <c r="X66" s="4">
        <v>0</v>
      </c>
      <c r="Y66" s="4">
        <v>0</v>
      </c>
      <c r="Z66" s="4">
        <v>0</v>
      </c>
      <c r="AA66" s="4">
        <v>0</v>
      </c>
      <c r="AB66" s="4">
        <v>0</v>
      </c>
    </row>
    <row r="67" spans="1:28" x14ac:dyDescent="0.25">
      <c r="A67" s="4" t="s">
        <v>18</v>
      </c>
      <c r="B67" s="60">
        <v>0</v>
      </c>
      <c r="C67" s="60">
        <v>0</v>
      </c>
      <c r="D67" s="60">
        <v>0</v>
      </c>
      <c r="E67" s="60">
        <v>0</v>
      </c>
      <c r="F67" s="60">
        <v>0</v>
      </c>
      <c r="G67" s="60">
        <v>0</v>
      </c>
      <c r="H67" s="60">
        <v>0</v>
      </c>
      <c r="I67" s="60">
        <v>0</v>
      </c>
      <c r="J67" s="60">
        <v>0</v>
      </c>
      <c r="K67" s="60">
        <v>0</v>
      </c>
      <c r="L67" s="60">
        <v>0</v>
      </c>
      <c r="M67" s="60">
        <v>0</v>
      </c>
      <c r="P67" s="4" t="s">
        <v>18</v>
      </c>
      <c r="Q67" s="4">
        <v>0</v>
      </c>
      <c r="R67" s="4">
        <v>0</v>
      </c>
      <c r="S67" s="4">
        <v>0</v>
      </c>
      <c r="T67" s="4">
        <v>0</v>
      </c>
      <c r="U67" s="4">
        <v>0</v>
      </c>
      <c r="V67" s="4">
        <v>0</v>
      </c>
      <c r="W67" s="4">
        <v>0</v>
      </c>
      <c r="X67" s="4">
        <v>0</v>
      </c>
      <c r="Y67" s="4">
        <v>0</v>
      </c>
      <c r="Z67" s="4">
        <v>0</v>
      </c>
      <c r="AA67" s="4">
        <v>0</v>
      </c>
      <c r="AB67" s="4">
        <v>0</v>
      </c>
    </row>
    <row r="68" spans="1:28" x14ac:dyDescent="0.25">
      <c r="A68" s="4" t="s">
        <v>19</v>
      </c>
      <c r="B68" s="60">
        <v>0</v>
      </c>
      <c r="C68" s="60">
        <v>0</v>
      </c>
      <c r="D68" s="60">
        <v>0</v>
      </c>
      <c r="E68" s="60">
        <v>1.3945002049031501</v>
      </c>
      <c r="F68" s="60">
        <v>4.3212368538429198</v>
      </c>
      <c r="G68" s="60">
        <v>5.5852153104049886</v>
      </c>
      <c r="H68" s="60">
        <v>4.5185729195115032</v>
      </c>
      <c r="I68" s="60">
        <v>1.4682678037771086</v>
      </c>
      <c r="J68" s="60">
        <v>0</v>
      </c>
      <c r="K68" s="60">
        <v>0</v>
      </c>
      <c r="L68" s="60">
        <v>0</v>
      </c>
      <c r="M68" s="60">
        <v>0</v>
      </c>
      <c r="P68" s="4" t="s">
        <v>19</v>
      </c>
      <c r="Q68" s="4">
        <v>0</v>
      </c>
      <c r="R68" s="4">
        <v>0</v>
      </c>
      <c r="S68" s="4">
        <v>0</v>
      </c>
      <c r="T68" s="4">
        <v>1.3945002049031501</v>
      </c>
      <c r="U68" s="4">
        <v>4.3212368538429198</v>
      </c>
      <c r="V68" s="4">
        <v>5.5852153104049886</v>
      </c>
      <c r="W68" s="4">
        <v>4.5185729195115032</v>
      </c>
      <c r="X68" s="4">
        <v>1.4682678037771086</v>
      </c>
      <c r="Y68" s="4">
        <v>0</v>
      </c>
      <c r="Z68" s="4">
        <v>0</v>
      </c>
      <c r="AA68" s="4">
        <v>0</v>
      </c>
      <c r="AB68" s="4">
        <v>0</v>
      </c>
    </row>
    <row r="69" spans="1:28" x14ac:dyDescent="0.25">
      <c r="A69" s="4" t="s">
        <v>20</v>
      </c>
      <c r="B69" s="60">
        <v>32.971637026645389</v>
      </c>
      <c r="C69" s="60">
        <v>34.031671408101353</v>
      </c>
      <c r="D69" s="60">
        <v>17.586168078055078</v>
      </c>
      <c r="E69" s="60">
        <v>12.888516402773119</v>
      </c>
      <c r="F69" s="60">
        <v>15.473771803871747</v>
      </c>
      <c r="G69" s="60">
        <v>16.531092492641616</v>
      </c>
      <c r="H69" s="60">
        <v>16.078007387430628</v>
      </c>
      <c r="I69" s="60">
        <v>13.871131483719628</v>
      </c>
      <c r="J69" s="60">
        <v>17.242324610887447</v>
      </c>
      <c r="K69" s="60">
        <v>31.027730018818268</v>
      </c>
      <c r="L69" s="60">
        <v>31.148277192652628</v>
      </c>
      <c r="M69" s="60">
        <v>24.435831896018485</v>
      </c>
      <c r="P69" s="4" t="s">
        <v>20</v>
      </c>
      <c r="Q69" s="4">
        <v>32.971637026645389</v>
      </c>
      <c r="R69" s="4">
        <v>34.031671408101353</v>
      </c>
      <c r="S69" s="4">
        <v>17.586168078055078</v>
      </c>
      <c r="T69" s="4">
        <v>12.888516402773119</v>
      </c>
      <c r="U69" s="4">
        <v>15.473771803871747</v>
      </c>
      <c r="V69" s="4">
        <v>16.531092492641616</v>
      </c>
      <c r="W69" s="4">
        <v>16.078007387430628</v>
      </c>
      <c r="X69" s="4">
        <v>13.871131483719628</v>
      </c>
      <c r="Y69" s="4">
        <v>17.242324610887447</v>
      </c>
      <c r="Z69" s="4">
        <v>31.027730018818268</v>
      </c>
      <c r="AA69" s="4">
        <v>31.148277192652628</v>
      </c>
      <c r="AB69" s="4">
        <v>24.435831896018485</v>
      </c>
    </row>
    <row r="70" spans="1:28" x14ac:dyDescent="0.25">
      <c r="A70" s="4" t="s">
        <v>21</v>
      </c>
      <c r="B70" s="60">
        <v>105.95044876518993</v>
      </c>
      <c r="C70" s="60">
        <v>79.306853118714884</v>
      </c>
      <c r="D70" s="60">
        <v>43.88835502526824</v>
      </c>
      <c r="E70" s="60">
        <v>20.501504858292144</v>
      </c>
      <c r="F70" s="60">
        <v>22.875659196390654</v>
      </c>
      <c r="G70" s="60">
        <v>23.847631232217044</v>
      </c>
      <c r="H70" s="60">
        <v>23.648088691669312</v>
      </c>
      <c r="I70" s="60">
        <v>21.906577624265662</v>
      </c>
      <c r="J70" s="60">
        <v>42.996474132455759</v>
      </c>
      <c r="K70" s="60">
        <v>75.29608232712495</v>
      </c>
      <c r="L70" s="60">
        <v>102.9416811301505</v>
      </c>
      <c r="M70" s="60">
        <v>111.26456036215383</v>
      </c>
      <c r="P70" s="4" t="s">
        <v>21</v>
      </c>
      <c r="Q70" s="4">
        <v>105.95044876518993</v>
      </c>
      <c r="R70" s="4">
        <v>79.306853118714884</v>
      </c>
      <c r="S70" s="4">
        <v>43.88835502526824</v>
      </c>
      <c r="T70" s="4">
        <v>20.501504858292144</v>
      </c>
      <c r="U70" s="4">
        <v>22.875659196390654</v>
      </c>
      <c r="V70" s="4">
        <v>23.847631232217044</v>
      </c>
      <c r="W70" s="4">
        <v>23.648088691669312</v>
      </c>
      <c r="X70" s="4">
        <v>21.906577624265662</v>
      </c>
      <c r="Y70" s="4">
        <v>42.996474132455759</v>
      </c>
      <c r="Z70" s="4">
        <v>75.29608232712495</v>
      </c>
      <c r="AA70" s="4">
        <v>102.9416811301505</v>
      </c>
      <c r="AB70" s="4">
        <v>111.26456036215383</v>
      </c>
    </row>
    <row r="71" spans="1:28" x14ac:dyDescent="0.25">
      <c r="A71" s="4" t="s">
        <v>22</v>
      </c>
      <c r="B71" s="60">
        <v>147.42437795400042</v>
      </c>
      <c r="C71" s="60">
        <v>114.60193789929895</v>
      </c>
      <c r="D71" s="60">
        <v>69.882411552698812</v>
      </c>
      <c r="E71" s="60">
        <v>32.81054290124338</v>
      </c>
      <c r="F71" s="60">
        <v>28.432292764009524</v>
      </c>
      <c r="G71" s="60">
        <v>29.317026609904772</v>
      </c>
      <c r="H71" s="60">
        <v>29.254485375662643</v>
      </c>
      <c r="I71" s="60">
        <v>32.478617371239395</v>
      </c>
      <c r="J71" s="60">
        <v>68.246431524251676</v>
      </c>
      <c r="K71" s="60">
        <v>109.96443176001242</v>
      </c>
      <c r="L71" s="60">
        <v>144.36691181236307</v>
      </c>
      <c r="M71" s="60">
        <v>155.85205636756876</v>
      </c>
      <c r="P71" s="4" t="s">
        <v>22</v>
      </c>
      <c r="Q71" s="4">
        <v>147.42437795400042</v>
      </c>
      <c r="R71" s="4">
        <v>114.60193789929895</v>
      </c>
      <c r="S71" s="4">
        <v>69.882411552698812</v>
      </c>
      <c r="T71" s="4">
        <v>32.81054290124338</v>
      </c>
      <c r="U71" s="4">
        <v>28.432292764009524</v>
      </c>
      <c r="V71" s="4">
        <v>29.317026609904772</v>
      </c>
      <c r="W71" s="4">
        <v>29.254485375662643</v>
      </c>
      <c r="X71" s="4">
        <v>32.478617371239395</v>
      </c>
      <c r="Y71" s="4">
        <v>68.246431524251676</v>
      </c>
      <c r="Z71" s="4">
        <v>109.96443176001242</v>
      </c>
      <c r="AA71" s="4">
        <v>144.36691181236307</v>
      </c>
      <c r="AB71" s="4">
        <v>155.85205636756876</v>
      </c>
    </row>
    <row r="72" spans="1:28" x14ac:dyDescent="0.25">
      <c r="A72" s="4" t="s">
        <v>23</v>
      </c>
      <c r="B72" s="60">
        <v>175.04529051759818</v>
      </c>
      <c r="C72" s="60">
        <v>141.52548087732109</v>
      </c>
      <c r="D72" s="60">
        <v>91.557351866450489</v>
      </c>
      <c r="E72" s="60">
        <v>46.657661351171818</v>
      </c>
      <c r="F72" s="60">
        <v>32.456081740356836</v>
      </c>
      <c r="G72" s="60">
        <v>33.261145070130041</v>
      </c>
      <c r="H72" s="60">
        <v>33.283982381051885</v>
      </c>
      <c r="I72" s="60">
        <v>45.407936234221367</v>
      </c>
      <c r="J72" s="60">
        <v>89.260235666323609</v>
      </c>
      <c r="K72" s="60">
        <v>136.40121341943751</v>
      </c>
      <c r="L72" s="60">
        <v>171.9019820542903</v>
      </c>
      <c r="M72" s="60">
        <v>184.60917324328511</v>
      </c>
      <c r="P72" s="4" t="s">
        <v>23</v>
      </c>
      <c r="Q72" s="4">
        <v>175.04529051759818</v>
      </c>
      <c r="R72" s="4">
        <v>141.52548087732109</v>
      </c>
      <c r="S72" s="4">
        <v>91.557351866450489</v>
      </c>
      <c r="T72" s="4">
        <v>46.657661351171818</v>
      </c>
      <c r="U72" s="4">
        <v>32.456081740356836</v>
      </c>
      <c r="V72" s="4">
        <v>33.261145070130041</v>
      </c>
      <c r="W72" s="4">
        <v>33.283982381051885</v>
      </c>
      <c r="X72" s="4">
        <v>45.407936234221367</v>
      </c>
      <c r="Y72" s="4">
        <v>89.260235666323609</v>
      </c>
      <c r="Z72" s="4">
        <v>136.40121341943751</v>
      </c>
      <c r="AA72" s="4">
        <v>171.9019820542903</v>
      </c>
      <c r="AB72" s="4">
        <v>184.60917324328511</v>
      </c>
    </row>
    <row r="73" spans="1:28" x14ac:dyDescent="0.25">
      <c r="A73" s="4" t="s">
        <v>24</v>
      </c>
      <c r="B73" s="60">
        <v>191.54543197425909</v>
      </c>
      <c r="C73" s="60">
        <v>157.83714535557613</v>
      </c>
      <c r="D73" s="60">
        <v>105.84186181869369</v>
      </c>
      <c r="E73" s="60">
        <v>56.512331637040695</v>
      </c>
      <c r="F73" s="60">
        <v>35.247177514236277</v>
      </c>
      <c r="G73" s="60">
        <v>35.668771018061314</v>
      </c>
      <c r="H73" s="60">
        <v>35.740476354876328</v>
      </c>
      <c r="I73" s="60">
        <v>54.694077280088138</v>
      </c>
      <c r="J73" s="60">
        <v>103.10152875991005</v>
      </c>
      <c r="K73" s="60">
        <v>152.63507746051744</v>
      </c>
      <c r="L73" s="60">
        <v>188.34506597661203</v>
      </c>
      <c r="M73" s="60">
        <v>201.48529985219855</v>
      </c>
      <c r="P73" s="4" t="s">
        <v>24</v>
      </c>
      <c r="Q73" s="4">
        <v>191.54543197425909</v>
      </c>
      <c r="R73" s="4">
        <v>157.83714535557613</v>
      </c>
      <c r="S73" s="4">
        <v>105.84186181869369</v>
      </c>
      <c r="T73" s="4">
        <v>56.512331637040695</v>
      </c>
      <c r="U73" s="4">
        <v>35.247177514236277</v>
      </c>
      <c r="V73" s="4">
        <v>35.668771018061314</v>
      </c>
      <c r="W73" s="4">
        <v>35.740476354876328</v>
      </c>
      <c r="X73" s="4">
        <v>54.694077280088138</v>
      </c>
      <c r="Y73" s="4">
        <v>103.10152875991005</v>
      </c>
      <c r="Z73" s="4">
        <v>152.63507746051744</v>
      </c>
      <c r="AA73" s="4">
        <v>188.34506597661203</v>
      </c>
      <c r="AB73" s="4">
        <v>201.48529985219855</v>
      </c>
    </row>
    <row r="74" spans="1:28" x14ac:dyDescent="0.25">
      <c r="A74" s="4" t="s">
        <v>25</v>
      </c>
      <c r="B74" s="60">
        <v>197.06497397887819</v>
      </c>
      <c r="C74" s="60">
        <v>163.07088559517553</v>
      </c>
      <c r="D74" s="60">
        <v>110.81958827524673</v>
      </c>
      <c r="E74" s="60">
        <v>60.049700871750176</v>
      </c>
      <c r="F74" s="60">
        <v>37.079998749664007</v>
      </c>
      <c r="G74" s="60">
        <v>36.480113808131513</v>
      </c>
      <c r="H74" s="60">
        <v>36.961162786075846</v>
      </c>
      <c r="I74" s="60">
        <v>58.03745458709588</v>
      </c>
      <c r="J74" s="60">
        <v>107.92409426102704</v>
      </c>
      <c r="K74" s="60">
        <v>157.79016779597103</v>
      </c>
      <c r="L74" s="60">
        <v>193.84455216762797</v>
      </c>
      <c r="M74" s="60">
        <v>207.09117415315896</v>
      </c>
      <c r="P74" s="4" t="s">
        <v>25</v>
      </c>
      <c r="Q74" s="4">
        <v>197.06497397887819</v>
      </c>
      <c r="R74" s="4">
        <v>163.07088559517553</v>
      </c>
      <c r="S74" s="4">
        <v>110.81958827524673</v>
      </c>
      <c r="T74" s="4">
        <v>60.049700871750176</v>
      </c>
      <c r="U74" s="4">
        <v>37.079998749664007</v>
      </c>
      <c r="V74" s="4">
        <v>36.480113808131513</v>
      </c>
      <c r="W74" s="4">
        <v>36.961162786075846</v>
      </c>
      <c r="X74" s="4">
        <v>58.03745458709588</v>
      </c>
      <c r="Y74" s="4">
        <v>107.92409426102704</v>
      </c>
      <c r="Z74" s="4">
        <v>157.79016779597103</v>
      </c>
      <c r="AA74" s="4">
        <v>193.84455216762797</v>
      </c>
      <c r="AB74" s="4">
        <v>207.09117415315896</v>
      </c>
    </row>
    <row r="75" spans="1:28" x14ac:dyDescent="0.25">
      <c r="A75" s="4" t="s">
        <v>26</v>
      </c>
      <c r="B75" s="60">
        <v>191.54543197425909</v>
      </c>
      <c r="C75" s="60">
        <v>157.83714535557613</v>
      </c>
      <c r="D75" s="60">
        <v>105.84186181869369</v>
      </c>
      <c r="E75" s="60">
        <v>56.512331637040695</v>
      </c>
      <c r="F75" s="60">
        <v>35.247177514236277</v>
      </c>
      <c r="G75" s="60">
        <v>35.668771018061314</v>
      </c>
      <c r="H75" s="60">
        <v>35.740476354876328</v>
      </c>
      <c r="I75" s="60">
        <v>54.694077280088138</v>
      </c>
      <c r="J75" s="60">
        <v>103.10152875991005</v>
      </c>
      <c r="K75" s="60">
        <v>152.63507746051744</v>
      </c>
      <c r="L75" s="60">
        <v>188.34506597661203</v>
      </c>
      <c r="M75" s="60">
        <v>201.48529985219855</v>
      </c>
      <c r="P75" s="4" t="s">
        <v>26</v>
      </c>
      <c r="Q75" s="4">
        <v>191.54543197425909</v>
      </c>
      <c r="R75" s="4">
        <v>157.83714535557613</v>
      </c>
      <c r="S75" s="4">
        <v>105.84186181869369</v>
      </c>
      <c r="T75" s="4">
        <v>56.512331637040695</v>
      </c>
      <c r="U75" s="4">
        <v>35.247177514236277</v>
      </c>
      <c r="V75" s="4">
        <v>35.668771018061314</v>
      </c>
      <c r="W75" s="4">
        <v>35.740476354876328</v>
      </c>
      <c r="X75" s="4">
        <v>54.694077280088138</v>
      </c>
      <c r="Y75" s="4">
        <v>103.10152875991005</v>
      </c>
      <c r="Z75" s="4">
        <v>152.63507746051744</v>
      </c>
      <c r="AA75" s="4">
        <v>188.34506597661203</v>
      </c>
      <c r="AB75" s="4">
        <v>201.48529985219855</v>
      </c>
    </row>
    <row r="76" spans="1:28" x14ac:dyDescent="0.25">
      <c r="A76" s="4" t="s">
        <v>27</v>
      </c>
      <c r="B76" s="60">
        <v>175.04529051759818</v>
      </c>
      <c r="C76" s="60">
        <v>141.52548087732109</v>
      </c>
      <c r="D76" s="60">
        <v>91.557351866450489</v>
      </c>
      <c r="E76" s="60">
        <v>46.657661351171818</v>
      </c>
      <c r="F76" s="60">
        <v>32.456081740356836</v>
      </c>
      <c r="G76" s="60">
        <v>33.261145070130041</v>
      </c>
      <c r="H76" s="60">
        <v>33.283982381051885</v>
      </c>
      <c r="I76" s="60">
        <v>45.407936234221367</v>
      </c>
      <c r="J76" s="60">
        <v>89.260235666323609</v>
      </c>
      <c r="K76" s="60">
        <v>136.40121341943751</v>
      </c>
      <c r="L76" s="60">
        <v>171.9019820542903</v>
      </c>
      <c r="M76" s="60">
        <v>184.60917324328511</v>
      </c>
      <c r="P76" s="4" t="s">
        <v>27</v>
      </c>
      <c r="Q76" s="4">
        <v>175.04529051759818</v>
      </c>
      <c r="R76" s="4">
        <v>141.52548087732109</v>
      </c>
      <c r="S76" s="4">
        <v>91.557351866450489</v>
      </c>
      <c r="T76" s="4">
        <v>46.657661351171818</v>
      </c>
      <c r="U76" s="4">
        <v>32.456081740356836</v>
      </c>
      <c r="V76" s="4">
        <v>33.261145070130041</v>
      </c>
      <c r="W76" s="4">
        <v>33.283982381051885</v>
      </c>
      <c r="X76" s="4">
        <v>45.407936234221367</v>
      </c>
      <c r="Y76" s="4">
        <v>89.260235666323609</v>
      </c>
      <c r="Z76" s="4">
        <v>136.40121341943751</v>
      </c>
      <c r="AA76" s="4">
        <v>171.9019820542903</v>
      </c>
      <c r="AB76" s="4">
        <v>184.60917324328511</v>
      </c>
    </row>
    <row r="77" spans="1:28" x14ac:dyDescent="0.25">
      <c r="A77" s="4" t="s">
        <v>28</v>
      </c>
      <c r="B77" s="60">
        <v>147.42437795400042</v>
      </c>
      <c r="C77" s="60">
        <v>114.60193789929895</v>
      </c>
      <c r="D77" s="60">
        <v>69.882411552698812</v>
      </c>
      <c r="E77" s="60">
        <v>32.81054290124338</v>
      </c>
      <c r="F77" s="60">
        <v>28.432292764009524</v>
      </c>
      <c r="G77" s="60">
        <v>29.317026609904772</v>
      </c>
      <c r="H77" s="60">
        <v>29.254485375662643</v>
      </c>
      <c r="I77" s="60">
        <v>32.478617371239395</v>
      </c>
      <c r="J77" s="60">
        <v>68.246431524251676</v>
      </c>
      <c r="K77" s="60">
        <v>109.96443176001242</v>
      </c>
      <c r="L77" s="60">
        <v>144.36691181236307</v>
      </c>
      <c r="M77" s="60">
        <v>155.85205636756876</v>
      </c>
      <c r="P77" s="4" t="s">
        <v>28</v>
      </c>
      <c r="Q77" s="4">
        <v>147.42437795400042</v>
      </c>
      <c r="R77" s="4">
        <v>114.60193789929895</v>
      </c>
      <c r="S77" s="4">
        <v>69.882411552698812</v>
      </c>
      <c r="T77" s="4">
        <v>32.81054290124338</v>
      </c>
      <c r="U77" s="4">
        <v>28.432292764009524</v>
      </c>
      <c r="V77" s="4">
        <v>29.317026609904772</v>
      </c>
      <c r="W77" s="4">
        <v>29.254485375662643</v>
      </c>
      <c r="X77" s="4">
        <v>32.478617371239395</v>
      </c>
      <c r="Y77" s="4">
        <v>68.246431524251676</v>
      </c>
      <c r="Z77" s="4">
        <v>109.96443176001242</v>
      </c>
      <c r="AA77" s="4">
        <v>144.36691181236307</v>
      </c>
      <c r="AB77" s="4">
        <v>155.85205636756876</v>
      </c>
    </row>
    <row r="78" spans="1:28" x14ac:dyDescent="0.25">
      <c r="A78" s="4" t="s">
        <v>29</v>
      </c>
      <c r="B78" s="60">
        <v>105.95044876518993</v>
      </c>
      <c r="C78" s="60">
        <v>79.306853118714884</v>
      </c>
      <c r="D78" s="60">
        <v>43.88835502526824</v>
      </c>
      <c r="E78" s="60">
        <v>20.501504858292144</v>
      </c>
      <c r="F78" s="60">
        <v>22.875659196390654</v>
      </c>
      <c r="G78" s="60">
        <v>23.847631232217044</v>
      </c>
      <c r="H78" s="60">
        <v>23.648088691669312</v>
      </c>
      <c r="I78" s="60">
        <v>21.906577624265662</v>
      </c>
      <c r="J78" s="60">
        <v>42.996474132455759</v>
      </c>
      <c r="K78" s="60">
        <v>75.29608232712495</v>
      </c>
      <c r="L78" s="60">
        <v>102.9416811301505</v>
      </c>
      <c r="M78" s="60">
        <v>111.26456036215383</v>
      </c>
      <c r="P78" s="4" t="s">
        <v>29</v>
      </c>
      <c r="Q78" s="4">
        <v>105.95044876518993</v>
      </c>
      <c r="R78" s="4">
        <v>79.306853118714884</v>
      </c>
      <c r="S78" s="4">
        <v>43.88835502526824</v>
      </c>
      <c r="T78" s="4">
        <v>20.501504858292144</v>
      </c>
      <c r="U78" s="4">
        <v>22.875659196390654</v>
      </c>
      <c r="V78" s="4">
        <v>23.847631232217044</v>
      </c>
      <c r="W78" s="4">
        <v>23.648088691669312</v>
      </c>
      <c r="X78" s="4">
        <v>21.906577624265662</v>
      </c>
      <c r="Y78" s="4">
        <v>42.996474132455759</v>
      </c>
      <c r="Z78" s="4">
        <v>75.29608232712495</v>
      </c>
      <c r="AA78" s="4">
        <v>102.9416811301505</v>
      </c>
      <c r="AB78" s="4">
        <v>111.26456036215383</v>
      </c>
    </row>
    <row r="79" spans="1:28" x14ac:dyDescent="0.25">
      <c r="A79" s="4" t="s">
        <v>30</v>
      </c>
      <c r="B79" s="60">
        <v>32.971637026645389</v>
      </c>
      <c r="C79" s="60">
        <v>34.031671408101353</v>
      </c>
      <c r="D79" s="60">
        <v>17.586168078055078</v>
      </c>
      <c r="E79" s="60">
        <v>12.888516402773119</v>
      </c>
      <c r="F79" s="60">
        <v>15.473771803871747</v>
      </c>
      <c r="G79" s="60">
        <v>16.531092492641616</v>
      </c>
      <c r="H79" s="60">
        <v>16.078007387430628</v>
      </c>
      <c r="I79" s="60">
        <v>13.871131483719628</v>
      </c>
      <c r="J79" s="60">
        <v>17.242324610887447</v>
      </c>
      <c r="K79" s="60">
        <v>31.027730018818268</v>
      </c>
      <c r="L79" s="60">
        <v>31.148277192652628</v>
      </c>
      <c r="M79" s="60">
        <v>24.435831896018485</v>
      </c>
      <c r="P79" s="4" t="s">
        <v>30</v>
      </c>
      <c r="Q79" s="4">
        <v>32.971637026645389</v>
      </c>
      <c r="R79" s="4">
        <v>34.031671408101353</v>
      </c>
      <c r="S79" s="4">
        <v>17.586168078055078</v>
      </c>
      <c r="T79" s="4">
        <v>12.888516402773119</v>
      </c>
      <c r="U79" s="4">
        <v>15.473771803871747</v>
      </c>
      <c r="V79" s="4">
        <v>16.531092492641616</v>
      </c>
      <c r="W79" s="4">
        <v>16.078007387430628</v>
      </c>
      <c r="X79" s="4">
        <v>13.871131483719628</v>
      </c>
      <c r="Y79" s="4">
        <v>17.242324610887447</v>
      </c>
      <c r="Z79" s="4">
        <v>31.027730018818268</v>
      </c>
      <c r="AA79" s="4">
        <v>31.148277192652628</v>
      </c>
      <c r="AB79" s="4">
        <v>24.435831896018485</v>
      </c>
    </row>
    <row r="80" spans="1:28" x14ac:dyDescent="0.25">
      <c r="A80" s="4" t="s">
        <v>31</v>
      </c>
      <c r="B80" s="60">
        <v>0</v>
      </c>
      <c r="C80" s="60">
        <v>0</v>
      </c>
      <c r="D80" s="60">
        <v>0</v>
      </c>
      <c r="E80" s="60">
        <v>1.3945002049031501</v>
      </c>
      <c r="F80" s="60">
        <v>4.3212368538429198</v>
      </c>
      <c r="G80" s="60">
        <v>5.5852153104049886</v>
      </c>
      <c r="H80" s="60">
        <v>4.5185729195115032</v>
      </c>
      <c r="I80" s="60">
        <v>1.4682678037771086</v>
      </c>
      <c r="J80" s="60">
        <v>0</v>
      </c>
      <c r="K80" s="60">
        <v>0</v>
      </c>
      <c r="L80" s="60">
        <v>0</v>
      </c>
      <c r="M80" s="60">
        <v>0</v>
      </c>
      <c r="P80" s="4" t="s">
        <v>31</v>
      </c>
      <c r="Q80" s="4">
        <v>0</v>
      </c>
      <c r="R80" s="4">
        <v>0</v>
      </c>
      <c r="S80" s="4">
        <v>0</v>
      </c>
      <c r="T80" s="4">
        <v>1.3945002049031501</v>
      </c>
      <c r="U80" s="4">
        <v>4.3212368538429198</v>
      </c>
      <c r="V80" s="4">
        <v>5.5852153104049886</v>
      </c>
      <c r="W80" s="4">
        <v>4.5185729195115032</v>
      </c>
      <c r="X80" s="4">
        <v>1.4682678037771086</v>
      </c>
      <c r="Y80" s="4">
        <v>0</v>
      </c>
      <c r="Z80" s="4">
        <v>0</v>
      </c>
      <c r="AA80" s="4">
        <v>0</v>
      </c>
      <c r="AB80" s="4">
        <v>0</v>
      </c>
    </row>
    <row r="81" spans="1:28" x14ac:dyDescent="0.25">
      <c r="A81" s="4" t="s">
        <v>32</v>
      </c>
      <c r="B81" s="60">
        <v>0</v>
      </c>
      <c r="C81" s="60">
        <v>0</v>
      </c>
      <c r="D81" s="60">
        <v>0</v>
      </c>
      <c r="E81" s="60">
        <v>0</v>
      </c>
      <c r="F81" s="60">
        <v>0</v>
      </c>
      <c r="G81" s="60">
        <v>0</v>
      </c>
      <c r="H81" s="60">
        <v>0</v>
      </c>
      <c r="I81" s="60">
        <v>0</v>
      </c>
      <c r="J81" s="60">
        <v>0</v>
      </c>
      <c r="K81" s="60">
        <v>0</v>
      </c>
      <c r="L81" s="60">
        <v>0</v>
      </c>
      <c r="M81" s="60">
        <v>0</v>
      </c>
      <c r="P81" s="4" t="s">
        <v>32</v>
      </c>
      <c r="Q81" s="4">
        <v>0</v>
      </c>
      <c r="R81" s="4">
        <v>0</v>
      </c>
      <c r="S81" s="4">
        <v>0</v>
      </c>
      <c r="T81" s="4">
        <v>0</v>
      </c>
      <c r="U81" s="4">
        <v>0</v>
      </c>
      <c r="V81" s="4">
        <v>0</v>
      </c>
      <c r="W81" s="4">
        <v>0</v>
      </c>
      <c r="X81" s="4">
        <v>0</v>
      </c>
      <c r="Y81" s="4">
        <v>0</v>
      </c>
      <c r="Z81" s="4">
        <v>0</v>
      </c>
      <c r="AA81" s="4">
        <v>0</v>
      </c>
      <c r="AB81" s="4">
        <v>0</v>
      </c>
    </row>
    <row r="82" spans="1:28" x14ac:dyDescent="0.25">
      <c r="A82" s="4" t="s">
        <v>33</v>
      </c>
      <c r="B82" s="60">
        <v>0</v>
      </c>
      <c r="C82" s="60">
        <v>0</v>
      </c>
      <c r="D82" s="60">
        <v>0</v>
      </c>
      <c r="E82" s="60">
        <v>0</v>
      </c>
      <c r="F82" s="60">
        <v>0</v>
      </c>
      <c r="G82" s="60">
        <v>0</v>
      </c>
      <c r="H82" s="60">
        <v>0</v>
      </c>
      <c r="I82" s="60">
        <v>0</v>
      </c>
      <c r="J82" s="60">
        <v>0</v>
      </c>
      <c r="K82" s="60">
        <v>0</v>
      </c>
      <c r="L82" s="60">
        <v>0</v>
      </c>
      <c r="M82" s="60">
        <v>0</v>
      </c>
      <c r="P82" s="4" t="s">
        <v>33</v>
      </c>
      <c r="Q82" s="4">
        <v>0</v>
      </c>
      <c r="R82" s="4">
        <v>0</v>
      </c>
      <c r="S82" s="4">
        <v>0</v>
      </c>
      <c r="T82" s="4">
        <v>0</v>
      </c>
      <c r="U82" s="4">
        <v>0</v>
      </c>
      <c r="V82" s="4">
        <v>0</v>
      </c>
      <c r="W82" s="4">
        <v>0</v>
      </c>
      <c r="X82" s="4">
        <v>0</v>
      </c>
      <c r="Y82" s="4">
        <v>0</v>
      </c>
      <c r="Z82" s="4">
        <v>0</v>
      </c>
      <c r="AA82" s="4">
        <v>0</v>
      </c>
      <c r="AB82" s="4">
        <v>0</v>
      </c>
    </row>
    <row r="83" spans="1:28" x14ac:dyDescent="0.25">
      <c r="A83" s="4" t="s">
        <v>34</v>
      </c>
      <c r="B83" s="60">
        <v>0</v>
      </c>
      <c r="C83" s="60">
        <v>0</v>
      </c>
      <c r="D83" s="60">
        <v>0</v>
      </c>
      <c r="E83" s="60">
        <v>0</v>
      </c>
      <c r="F83" s="60">
        <v>0</v>
      </c>
      <c r="G83" s="60">
        <v>0</v>
      </c>
      <c r="H83" s="60">
        <v>0</v>
      </c>
      <c r="I83" s="60">
        <v>0</v>
      </c>
      <c r="J83" s="60">
        <v>0</v>
      </c>
      <c r="K83" s="60">
        <v>0</v>
      </c>
      <c r="L83" s="60">
        <v>0</v>
      </c>
      <c r="M83" s="60">
        <v>0</v>
      </c>
      <c r="P83" s="4" t="s">
        <v>34</v>
      </c>
      <c r="Q83" s="4">
        <v>0</v>
      </c>
      <c r="R83" s="4">
        <v>0</v>
      </c>
      <c r="S83" s="4">
        <v>0</v>
      </c>
      <c r="T83" s="4">
        <v>0</v>
      </c>
      <c r="U83" s="4">
        <v>0</v>
      </c>
      <c r="V83" s="4">
        <v>0</v>
      </c>
      <c r="W83" s="4">
        <v>0</v>
      </c>
      <c r="X83" s="4">
        <v>0</v>
      </c>
      <c r="Y83" s="4">
        <v>0</v>
      </c>
      <c r="Z83" s="4">
        <v>0</v>
      </c>
      <c r="AA83" s="4">
        <v>0</v>
      </c>
      <c r="AB83" s="4">
        <v>0</v>
      </c>
    </row>
    <row r="84" spans="1:28" x14ac:dyDescent="0.25">
      <c r="A84" s="4" t="s">
        <v>35</v>
      </c>
      <c r="B84" s="60">
        <v>0</v>
      </c>
      <c r="C84" s="60">
        <v>0</v>
      </c>
      <c r="D84" s="60">
        <v>0</v>
      </c>
      <c r="E84" s="60">
        <v>0</v>
      </c>
      <c r="F84" s="60">
        <v>0</v>
      </c>
      <c r="G84" s="60">
        <v>0</v>
      </c>
      <c r="H84" s="60">
        <v>0</v>
      </c>
      <c r="I84" s="60">
        <v>0</v>
      </c>
      <c r="J84" s="60">
        <v>0</v>
      </c>
      <c r="K84" s="60">
        <v>0</v>
      </c>
      <c r="L84" s="60">
        <v>0</v>
      </c>
      <c r="M84" s="60">
        <v>0</v>
      </c>
      <c r="P84" s="4" t="s">
        <v>35</v>
      </c>
      <c r="Q84" s="4">
        <v>0</v>
      </c>
      <c r="R84" s="4">
        <v>0</v>
      </c>
      <c r="S84" s="4">
        <v>0</v>
      </c>
      <c r="T84" s="4">
        <v>0</v>
      </c>
      <c r="U84" s="4">
        <v>0</v>
      </c>
      <c r="V84" s="4">
        <v>0</v>
      </c>
      <c r="W84" s="4">
        <v>0</v>
      </c>
      <c r="X84" s="4">
        <v>0</v>
      </c>
      <c r="Y84" s="4">
        <v>0</v>
      </c>
      <c r="Z84" s="4">
        <v>0</v>
      </c>
      <c r="AA84" s="4">
        <v>0</v>
      </c>
      <c r="AB84" s="4">
        <v>0</v>
      </c>
    </row>
    <row r="85" spans="1:28" x14ac:dyDescent="0.25">
      <c r="A85" s="4" t="s">
        <v>36</v>
      </c>
      <c r="B85" s="60">
        <v>0</v>
      </c>
      <c r="C85" s="60">
        <v>0</v>
      </c>
      <c r="D85" s="60">
        <v>0</v>
      </c>
      <c r="E85" s="60">
        <v>0</v>
      </c>
      <c r="F85" s="60">
        <v>0</v>
      </c>
      <c r="G85" s="60">
        <v>0</v>
      </c>
      <c r="H85" s="60">
        <v>0</v>
      </c>
      <c r="I85" s="60">
        <v>0</v>
      </c>
      <c r="J85" s="60">
        <v>0</v>
      </c>
      <c r="K85" s="60">
        <v>0</v>
      </c>
      <c r="L85" s="60">
        <v>0</v>
      </c>
      <c r="M85" s="60">
        <v>0</v>
      </c>
      <c r="P85" s="4" t="s">
        <v>36</v>
      </c>
      <c r="Q85" s="4">
        <v>0</v>
      </c>
      <c r="R85" s="4">
        <v>0</v>
      </c>
      <c r="S85" s="4">
        <v>0</v>
      </c>
      <c r="T85" s="4">
        <v>0</v>
      </c>
      <c r="U85" s="4">
        <v>0</v>
      </c>
      <c r="V85" s="4">
        <v>0</v>
      </c>
      <c r="W85" s="4">
        <v>0</v>
      </c>
      <c r="X85" s="4">
        <v>0</v>
      </c>
      <c r="Y85" s="4">
        <v>0</v>
      </c>
      <c r="Z85" s="4">
        <v>0</v>
      </c>
      <c r="AA85" s="4">
        <v>0</v>
      </c>
      <c r="AB85" s="4">
        <v>0</v>
      </c>
    </row>
    <row r="86" spans="1:28" s="4" customFormat="1" x14ac:dyDescent="0.25">
      <c r="B86" s="60"/>
      <c r="C86" s="60"/>
      <c r="D86" s="60"/>
      <c r="E86" s="60"/>
      <c r="F86" s="60"/>
      <c r="G86" s="60"/>
      <c r="H86" s="60"/>
      <c r="I86" s="60"/>
      <c r="J86" s="60"/>
      <c r="K86" s="60"/>
      <c r="L86" s="60"/>
      <c r="M86" s="60"/>
    </row>
    <row r="88" spans="1:28" x14ac:dyDescent="0.25">
      <c r="A88" s="4" t="s">
        <v>91</v>
      </c>
      <c r="P88" s="4" t="s">
        <v>91</v>
      </c>
    </row>
    <row r="89" spans="1:28" x14ac:dyDescent="0.25">
      <c r="A89" s="4"/>
    </row>
    <row r="90" spans="1:28" x14ac:dyDescent="0.25">
      <c r="A90" s="4"/>
      <c r="B90" s="60" t="s">
        <v>1</v>
      </c>
      <c r="C90" s="60" t="s">
        <v>2</v>
      </c>
      <c r="D90" s="60" t="s">
        <v>3</v>
      </c>
      <c r="E90" s="60" t="s">
        <v>4</v>
      </c>
      <c r="F90" s="60" t="s">
        <v>5</v>
      </c>
      <c r="G90" s="60" t="s">
        <v>6</v>
      </c>
      <c r="H90" s="60" t="s">
        <v>7</v>
      </c>
      <c r="I90" s="60" t="s">
        <v>8</v>
      </c>
      <c r="J90" s="60" t="s">
        <v>9</v>
      </c>
      <c r="K90" s="60" t="s">
        <v>10</v>
      </c>
      <c r="L90" s="60" t="s">
        <v>11</v>
      </c>
      <c r="M90" s="60" t="s">
        <v>12</v>
      </c>
      <c r="Q90" s="4" t="s">
        <v>1</v>
      </c>
      <c r="R90" s="4" t="s">
        <v>2</v>
      </c>
      <c r="S90" s="4" t="s">
        <v>3</v>
      </c>
      <c r="T90" s="4" t="s">
        <v>4</v>
      </c>
      <c r="U90" s="4" t="s">
        <v>5</v>
      </c>
      <c r="V90" s="4" t="s">
        <v>6</v>
      </c>
      <c r="W90" s="4" t="s">
        <v>7</v>
      </c>
      <c r="X90" s="4" t="s">
        <v>8</v>
      </c>
      <c r="Y90" s="4" t="s">
        <v>9</v>
      </c>
      <c r="Z90" s="4" t="s">
        <v>10</v>
      </c>
      <c r="AA90" s="4" t="s">
        <v>11</v>
      </c>
      <c r="AB90" s="4" t="s">
        <v>12</v>
      </c>
    </row>
    <row r="91" spans="1:28" x14ac:dyDescent="0.25">
      <c r="A91" s="4" t="s">
        <v>13</v>
      </c>
      <c r="B91" s="60">
        <v>0</v>
      </c>
      <c r="C91" s="60">
        <v>0</v>
      </c>
      <c r="D91" s="60">
        <v>0</v>
      </c>
      <c r="E91" s="60">
        <v>0</v>
      </c>
      <c r="F91" s="60">
        <v>0</v>
      </c>
      <c r="G91" s="60">
        <v>0</v>
      </c>
      <c r="H91" s="60">
        <v>0</v>
      </c>
      <c r="I91" s="60">
        <v>0</v>
      </c>
      <c r="J91" s="60">
        <v>0</v>
      </c>
      <c r="K91" s="60">
        <v>0</v>
      </c>
      <c r="L91" s="60">
        <v>0</v>
      </c>
      <c r="M91" s="60">
        <v>0</v>
      </c>
      <c r="P91" s="4" t="s">
        <v>13</v>
      </c>
      <c r="Q91" s="4">
        <v>0</v>
      </c>
      <c r="R91" s="4">
        <v>0</v>
      </c>
      <c r="S91" s="4">
        <v>0</v>
      </c>
      <c r="T91" s="4">
        <v>0</v>
      </c>
      <c r="U91" s="4">
        <v>0</v>
      </c>
      <c r="V91" s="4">
        <v>0</v>
      </c>
      <c r="W91" s="4">
        <v>0</v>
      </c>
      <c r="X91" s="4">
        <v>0</v>
      </c>
      <c r="Y91" s="4">
        <v>0</v>
      </c>
      <c r="Z91" s="4">
        <v>0</v>
      </c>
      <c r="AA91" s="4">
        <v>0</v>
      </c>
      <c r="AB91" s="4">
        <v>0</v>
      </c>
    </row>
    <row r="92" spans="1:28" x14ac:dyDescent="0.25">
      <c r="A92" s="4" t="s">
        <v>14</v>
      </c>
      <c r="B92" s="60">
        <v>0</v>
      </c>
      <c r="C92" s="60">
        <v>0</v>
      </c>
      <c r="D92" s="60">
        <v>0</v>
      </c>
      <c r="E92" s="60">
        <v>0</v>
      </c>
      <c r="F92" s="60">
        <v>0</v>
      </c>
      <c r="G92" s="60">
        <v>0</v>
      </c>
      <c r="H92" s="60">
        <v>0</v>
      </c>
      <c r="I92" s="60">
        <v>0</v>
      </c>
      <c r="J92" s="60">
        <v>0</v>
      </c>
      <c r="K92" s="60">
        <v>0</v>
      </c>
      <c r="L92" s="60">
        <v>0</v>
      </c>
      <c r="M92" s="60">
        <v>0</v>
      </c>
      <c r="P92" s="4" t="s">
        <v>14</v>
      </c>
      <c r="Q92" s="4">
        <v>0</v>
      </c>
      <c r="R92" s="4">
        <v>0</v>
      </c>
      <c r="S92" s="4">
        <v>0</v>
      </c>
      <c r="T92" s="4">
        <v>0</v>
      </c>
      <c r="U92" s="4">
        <v>0</v>
      </c>
      <c r="V92" s="4">
        <v>0</v>
      </c>
      <c r="W92" s="4">
        <v>0</v>
      </c>
      <c r="X92" s="4">
        <v>0</v>
      </c>
      <c r="Y92" s="4">
        <v>0</v>
      </c>
      <c r="Z92" s="4">
        <v>0</v>
      </c>
      <c r="AA92" s="4">
        <v>0</v>
      </c>
      <c r="AB92" s="4">
        <v>0</v>
      </c>
    </row>
    <row r="93" spans="1:28" x14ac:dyDescent="0.25">
      <c r="A93" s="4" t="s">
        <v>15</v>
      </c>
      <c r="B93" s="60">
        <v>0</v>
      </c>
      <c r="C93" s="60">
        <v>0</v>
      </c>
      <c r="D93" s="60">
        <v>0</v>
      </c>
      <c r="E93" s="60">
        <v>0</v>
      </c>
      <c r="F93" s="60">
        <v>0</v>
      </c>
      <c r="G93" s="60">
        <v>0</v>
      </c>
      <c r="H93" s="60">
        <v>0</v>
      </c>
      <c r="I93" s="60">
        <v>0</v>
      </c>
      <c r="J93" s="60">
        <v>0</v>
      </c>
      <c r="K93" s="60">
        <v>0</v>
      </c>
      <c r="L93" s="60">
        <v>0</v>
      </c>
      <c r="M93" s="60">
        <v>0</v>
      </c>
      <c r="P93" s="4" t="s">
        <v>15</v>
      </c>
      <c r="Q93" s="4">
        <v>0</v>
      </c>
      <c r="R93" s="4">
        <v>0</v>
      </c>
      <c r="S93" s="4">
        <v>0</v>
      </c>
      <c r="T93" s="4">
        <v>0</v>
      </c>
      <c r="U93" s="4">
        <v>0</v>
      </c>
      <c r="V93" s="4">
        <v>0</v>
      </c>
      <c r="W93" s="4">
        <v>0</v>
      </c>
      <c r="X93" s="4">
        <v>0</v>
      </c>
      <c r="Y93" s="4">
        <v>0</v>
      </c>
      <c r="Z93" s="4">
        <v>0</v>
      </c>
      <c r="AA93" s="4">
        <v>0</v>
      </c>
      <c r="AB93" s="4">
        <v>0</v>
      </c>
    </row>
    <row r="94" spans="1:28" x14ac:dyDescent="0.25">
      <c r="A94" s="4" t="s">
        <v>16</v>
      </c>
      <c r="B94" s="60">
        <v>0</v>
      </c>
      <c r="C94" s="60">
        <v>0</v>
      </c>
      <c r="D94" s="60">
        <v>0</v>
      </c>
      <c r="E94" s="60">
        <v>0</v>
      </c>
      <c r="F94" s="60">
        <v>0</v>
      </c>
      <c r="G94" s="60">
        <v>0</v>
      </c>
      <c r="H94" s="60">
        <v>0</v>
      </c>
      <c r="I94" s="60">
        <v>0</v>
      </c>
      <c r="J94" s="60">
        <v>0</v>
      </c>
      <c r="K94" s="60">
        <v>0</v>
      </c>
      <c r="L94" s="60">
        <v>0</v>
      </c>
      <c r="M94" s="60">
        <v>0</v>
      </c>
      <c r="P94" s="4" t="s">
        <v>16</v>
      </c>
      <c r="Q94" s="4">
        <v>0</v>
      </c>
      <c r="R94" s="4">
        <v>0</v>
      </c>
      <c r="S94" s="4">
        <v>0</v>
      </c>
      <c r="T94" s="4">
        <v>0</v>
      </c>
      <c r="U94" s="4">
        <v>0</v>
      </c>
      <c r="V94" s="4">
        <v>0</v>
      </c>
      <c r="W94" s="4">
        <v>0</v>
      </c>
      <c r="X94" s="4">
        <v>0</v>
      </c>
      <c r="Y94" s="4">
        <v>0</v>
      </c>
      <c r="Z94" s="4">
        <v>0</v>
      </c>
      <c r="AA94" s="4">
        <v>0</v>
      </c>
      <c r="AB94" s="4">
        <v>0</v>
      </c>
    </row>
    <row r="95" spans="1:28" x14ac:dyDescent="0.25">
      <c r="A95" s="4" t="s">
        <v>17</v>
      </c>
      <c r="B95" s="60">
        <v>0</v>
      </c>
      <c r="C95" s="60">
        <v>0</v>
      </c>
      <c r="D95" s="60">
        <v>0</v>
      </c>
      <c r="E95" s="60">
        <v>0</v>
      </c>
      <c r="F95" s="60">
        <v>0</v>
      </c>
      <c r="G95" s="60">
        <v>0</v>
      </c>
      <c r="H95" s="60">
        <v>0</v>
      </c>
      <c r="I95" s="60">
        <v>0</v>
      </c>
      <c r="J95" s="60">
        <v>0</v>
      </c>
      <c r="K95" s="60">
        <v>0</v>
      </c>
      <c r="L95" s="60">
        <v>0</v>
      </c>
      <c r="M95" s="60">
        <v>0</v>
      </c>
      <c r="P95" s="4" t="s">
        <v>17</v>
      </c>
      <c r="Q95" s="4">
        <v>0</v>
      </c>
      <c r="R95" s="4">
        <v>0</v>
      </c>
      <c r="S95" s="4">
        <v>0</v>
      </c>
      <c r="T95" s="4">
        <v>0</v>
      </c>
      <c r="U95" s="4">
        <v>0</v>
      </c>
      <c r="V95" s="4">
        <v>0</v>
      </c>
      <c r="W95" s="4">
        <v>0</v>
      </c>
      <c r="X95" s="4">
        <v>0</v>
      </c>
      <c r="Y95" s="4">
        <v>0</v>
      </c>
      <c r="Z95" s="4">
        <v>0</v>
      </c>
      <c r="AA95" s="4">
        <v>0</v>
      </c>
      <c r="AB95" s="4">
        <v>0</v>
      </c>
    </row>
    <row r="96" spans="1:28" x14ac:dyDescent="0.25">
      <c r="A96" s="4" t="s">
        <v>18</v>
      </c>
      <c r="B96" s="60">
        <v>0</v>
      </c>
      <c r="C96" s="60">
        <v>0</v>
      </c>
      <c r="D96" s="60">
        <v>0</v>
      </c>
      <c r="E96" s="60">
        <v>0</v>
      </c>
      <c r="F96" s="60">
        <v>0</v>
      </c>
      <c r="G96" s="60">
        <v>0</v>
      </c>
      <c r="H96" s="60">
        <v>0</v>
      </c>
      <c r="I96" s="60">
        <v>0</v>
      </c>
      <c r="J96" s="60">
        <v>0</v>
      </c>
      <c r="K96" s="60">
        <v>0</v>
      </c>
      <c r="L96" s="60">
        <v>0</v>
      </c>
      <c r="M96" s="60">
        <v>0</v>
      </c>
      <c r="P96" s="4" t="s">
        <v>18</v>
      </c>
      <c r="Q96" s="4">
        <v>0</v>
      </c>
      <c r="R96" s="4">
        <v>0</v>
      </c>
      <c r="S96" s="4">
        <v>0</v>
      </c>
      <c r="T96" s="4">
        <v>0</v>
      </c>
      <c r="U96" s="4">
        <v>0</v>
      </c>
      <c r="V96" s="4">
        <v>0</v>
      </c>
      <c r="W96" s="4">
        <v>0</v>
      </c>
      <c r="X96" s="4">
        <v>0</v>
      </c>
      <c r="Y96" s="4">
        <v>0</v>
      </c>
      <c r="Z96" s="4">
        <v>0</v>
      </c>
      <c r="AA96" s="4">
        <v>0</v>
      </c>
      <c r="AB96" s="4">
        <v>0</v>
      </c>
    </row>
    <row r="97" spans="1:28" x14ac:dyDescent="0.25">
      <c r="A97" s="4" t="s">
        <v>19</v>
      </c>
      <c r="B97" s="60">
        <v>0</v>
      </c>
      <c r="C97" s="60">
        <v>0</v>
      </c>
      <c r="D97" s="60">
        <v>0</v>
      </c>
      <c r="E97" s="60">
        <v>1.3945002049031501</v>
      </c>
      <c r="F97" s="60">
        <v>4.3212368538429198</v>
      </c>
      <c r="G97" s="60">
        <v>5.5852153104049886</v>
      </c>
      <c r="H97" s="60">
        <v>4.5185729195115032</v>
      </c>
      <c r="I97" s="60">
        <v>1.4682678037771086</v>
      </c>
      <c r="J97" s="60">
        <v>0</v>
      </c>
      <c r="K97" s="60">
        <v>0</v>
      </c>
      <c r="L97" s="60">
        <v>0</v>
      </c>
      <c r="M97" s="60">
        <v>0</v>
      </c>
      <c r="P97" s="4" t="s">
        <v>19</v>
      </c>
      <c r="Q97" s="4">
        <v>0</v>
      </c>
      <c r="R97" s="4">
        <v>0</v>
      </c>
      <c r="S97" s="4">
        <v>0</v>
      </c>
      <c r="T97" s="4">
        <v>1.3945002049031501</v>
      </c>
      <c r="U97" s="4">
        <v>4.3212368538429198</v>
      </c>
      <c r="V97" s="4">
        <v>5.5852153104049886</v>
      </c>
      <c r="W97" s="4">
        <v>4.5185729195115032</v>
      </c>
      <c r="X97" s="4">
        <v>1.4682678037771086</v>
      </c>
      <c r="Y97" s="4">
        <v>0</v>
      </c>
      <c r="Z97" s="4">
        <v>0</v>
      </c>
      <c r="AA97" s="4">
        <v>0</v>
      </c>
      <c r="AB97" s="4">
        <v>0</v>
      </c>
    </row>
    <row r="98" spans="1:28" x14ac:dyDescent="0.25">
      <c r="A98" s="4" t="s">
        <v>20</v>
      </c>
      <c r="B98" s="60">
        <v>3.2643025421359506</v>
      </c>
      <c r="C98" s="60">
        <v>6.3064278345249818</v>
      </c>
      <c r="D98" s="60">
        <v>9.4768970366820042</v>
      </c>
      <c r="E98" s="60">
        <v>12.888516402773119</v>
      </c>
      <c r="F98" s="60">
        <v>15.473771803871747</v>
      </c>
      <c r="G98" s="60">
        <v>16.531092492641616</v>
      </c>
      <c r="H98" s="60">
        <v>16.078007387430628</v>
      </c>
      <c r="I98" s="60">
        <v>13.871131483719628</v>
      </c>
      <c r="J98" s="60">
        <v>10.025566222850811</v>
      </c>
      <c r="K98" s="60">
        <v>6.5614481275103991</v>
      </c>
      <c r="L98" s="60">
        <v>3.3043798240756006</v>
      </c>
      <c r="M98" s="60">
        <v>1.967034567626188</v>
      </c>
      <c r="P98" s="4" t="s">
        <v>20</v>
      </c>
      <c r="Q98" s="4">
        <v>3.2643025421359506</v>
      </c>
      <c r="R98" s="4">
        <v>6.3064278345249818</v>
      </c>
      <c r="S98" s="4">
        <v>9.4768970366820042</v>
      </c>
      <c r="T98" s="4">
        <v>12.888516402773119</v>
      </c>
      <c r="U98" s="4">
        <v>15.473771803871747</v>
      </c>
      <c r="V98" s="4">
        <v>16.531092492641616</v>
      </c>
      <c r="W98" s="4">
        <v>16.078007387430628</v>
      </c>
      <c r="X98" s="4">
        <v>13.871131483719628</v>
      </c>
      <c r="Y98" s="4">
        <v>10.025566222850811</v>
      </c>
      <c r="Z98" s="4">
        <v>6.5614481275103991</v>
      </c>
      <c r="AA98" s="4">
        <v>3.3043798240756006</v>
      </c>
      <c r="AB98" s="4">
        <v>1.967034567626188</v>
      </c>
    </row>
    <row r="99" spans="1:28" x14ac:dyDescent="0.25">
      <c r="A99" s="4" t="s">
        <v>21</v>
      </c>
      <c r="B99" s="60">
        <v>11.898627605320891</v>
      </c>
      <c r="C99" s="60">
        <v>14.416310488954947</v>
      </c>
      <c r="D99" s="60">
        <v>17.3033322214654</v>
      </c>
      <c r="E99" s="60">
        <v>20.501504858292144</v>
      </c>
      <c r="F99" s="60">
        <v>22.875659196390654</v>
      </c>
      <c r="G99" s="60">
        <v>23.847631232217044</v>
      </c>
      <c r="H99" s="60">
        <v>23.648088691669312</v>
      </c>
      <c r="I99" s="60">
        <v>21.906577624265662</v>
      </c>
      <c r="J99" s="60">
        <v>18.324495648777781</v>
      </c>
      <c r="K99" s="60">
        <v>15.075119194655567</v>
      </c>
      <c r="L99" s="60">
        <v>12.131403870791841</v>
      </c>
      <c r="M99" s="60">
        <v>10.747254065608505</v>
      </c>
      <c r="P99" s="4" t="s">
        <v>21</v>
      </c>
      <c r="Q99" s="4">
        <v>11.898627605320891</v>
      </c>
      <c r="R99" s="4">
        <v>14.416310488954947</v>
      </c>
      <c r="S99" s="4">
        <v>17.3033322214654</v>
      </c>
      <c r="T99" s="4">
        <v>20.501504858292144</v>
      </c>
      <c r="U99" s="4">
        <v>22.875659196390654</v>
      </c>
      <c r="V99" s="4">
        <v>23.847631232217044</v>
      </c>
      <c r="W99" s="4">
        <v>23.648088691669312</v>
      </c>
      <c r="X99" s="4">
        <v>21.906577624265662</v>
      </c>
      <c r="Y99" s="4">
        <v>18.324495648777781</v>
      </c>
      <c r="Z99" s="4">
        <v>15.075119194655567</v>
      </c>
      <c r="AA99" s="4">
        <v>12.131403870791841</v>
      </c>
      <c r="AB99" s="4">
        <v>10.747254065608505</v>
      </c>
    </row>
    <row r="100" spans="1:28" x14ac:dyDescent="0.25">
      <c r="A100" s="4" t="s">
        <v>22</v>
      </c>
      <c r="B100" s="60">
        <v>17.854596251304439</v>
      </c>
      <c r="C100" s="60">
        <v>20.367392714218369</v>
      </c>
      <c r="D100" s="60">
        <v>23.21544856561151</v>
      </c>
      <c r="E100" s="60">
        <v>26.245250547626185</v>
      </c>
      <c r="F100" s="60">
        <v>28.432292764009524</v>
      </c>
      <c r="G100" s="60">
        <v>29.317026609904772</v>
      </c>
      <c r="H100" s="60">
        <v>29.254485375662643</v>
      </c>
      <c r="I100" s="60">
        <v>27.796325735274863</v>
      </c>
      <c r="J100" s="60">
        <v>24.363154656720017</v>
      </c>
      <c r="K100" s="60">
        <v>21.142278295800242</v>
      </c>
      <c r="L100" s="60">
        <v>18.151314990730885</v>
      </c>
      <c r="M100" s="60">
        <v>16.676861410217381</v>
      </c>
      <c r="P100" s="4" t="s">
        <v>22</v>
      </c>
      <c r="Q100" s="4">
        <v>17.854596251304439</v>
      </c>
      <c r="R100" s="4">
        <v>20.367392714218369</v>
      </c>
      <c r="S100" s="4">
        <v>23.21544856561151</v>
      </c>
      <c r="T100" s="4">
        <v>26.245250547626185</v>
      </c>
      <c r="U100" s="4">
        <v>28.432292764009524</v>
      </c>
      <c r="V100" s="4">
        <v>29.317026609904772</v>
      </c>
      <c r="W100" s="4">
        <v>29.254485375662643</v>
      </c>
      <c r="X100" s="4">
        <v>27.796325735274863</v>
      </c>
      <c r="Y100" s="4">
        <v>24.363154656720017</v>
      </c>
      <c r="Z100" s="4">
        <v>21.142278295800242</v>
      </c>
      <c r="AA100" s="4">
        <v>18.151314990730885</v>
      </c>
      <c r="AB100" s="4">
        <v>16.676861410217381</v>
      </c>
    </row>
    <row r="101" spans="1:28" x14ac:dyDescent="0.25">
      <c r="A101" s="4" t="s">
        <v>23</v>
      </c>
      <c r="B101" s="60">
        <v>22.137322048590832</v>
      </c>
      <c r="C101" s="60">
        <v>24.718198351510008</v>
      </c>
      <c r="D101" s="60">
        <v>27.556010630677822</v>
      </c>
      <c r="E101" s="60">
        <v>30.433074443502203</v>
      </c>
      <c r="F101" s="60">
        <v>32.456081740356836</v>
      </c>
      <c r="G101" s="60">
        <v>33.261145070130041</v>
      </c>
      <c r="H101" s="60">
        <v>33.283982381051885</v>
      </c>
      <c r="I101" s="60">
        <v>32.027869561652523</v>
      </c>
      <c r="J101" s="60">
        <v>28.72422749123773</v>
      </c>
      <c r="K101" s="60">
        <v>25.52159225965022</v>
      </c>
      <c r="L101" s="60">
        <v>22.453314110287742</v>
      </c>
      <c r="M101" s="60">
        <v>20.903441168166516</v>
      </c>
      <c r="P101" s="4" t="s">
        <v>23</v>
      </c>
      <c r="Q101" s="4">
        <v>22.137322048590832</v>
      </c>
      <c r="R101" s="4">
        <v>24.718198351510008</v>
      </c>
      <c r="S101" s="4">
        <v>27.556010630677822</v>
      </c>
      <c r="T101" s="4">
        <v>30.433074443502203</v>
      </c>
      <c r="U101" s="4">
        <v>32.456081740356836</v>
      </c>
      <c r="V101" s="4">
        <v>33.261145070130041</v>
      </c>
      <c r="W101" s="4">
        <v>33.283982381051885</v>
      </c>
      <c r="X101" s="4">
        <v>32.027869561652523</v>
      </c>
      <c r="Y101" s="4">
        <v>28.72422749123773</v>
      </c>
      <c r="Z101" s="4">
        <v>25.52159225965022</v>
      </c>
      <c r="AA101" s="4">
        <v>22.453314110287742</v>
      </c>
      <c r="AB101" s="4">
        <v>20.903441168166516</v>
      </c>
    </row>
    <row r="102" spans="1:28" x14ac:dyDescent="0.25">
      <c r="A102" s="4" t="s">
        <v>24</v>
      </c>
      <c r="B102" s="60">
        <v>24.765065245997299</v>
      </c>
      <c r="C102" s="60">
        <v>27.402093297654179</v>
      </c>
      <c r="D102" s="60">
        <v>30.235211455568081</v>
      </c>
      <c r="E102" s="60">
        <v>33.006814299120826</v>
      </c>
      <c r="F102" s="60">
        <v>34.918573778704499</v>
      </c>
      <c r="G102" s="60">
        <v>35.668771018061314</v>
      </c>
      <c r="H102" s="60">
        <v>35.740476354876328</v>
      </c>
      <c r="I102" s="60">
        <v>34.609822706378253</v>
      </c>
      <c r="J102" s="60">
        <v>31.396211231644187</v>
      </c>
      <c r="K102" s="60">
        <v>28.208172435871568</v>
      </c>
      <c r="L102" s="60">
        <v>25.08589702038174</v>
      </c>
      <c r="M102" s="60">
        <v>23.489423034102295</v>
      </c>
      <c r="P102" s="4" t="s">
        <v>24</v>
      </c>
      <c r="Q102" s="4">
        <v>24.765065245997299</v>
      </c>
      <c r="R102" s="4">
        <v>27.402093297654179</v>
      </c>
      <c r="S102" s="4">
        <v>30.235211455568081</v>
      </c>
      <c r="T102" s="4">
        <v>33.006814299120826</v>
      </c>
      <c r="U102" s="4">
        <v>34.918573778704499</v>
      </c>
      <c r="V102" s="4">
        <v>35.668771018061314</v>
      </c>
      <c r="W102" s="4">
        <v>35.740476354876328</v>
      </c>
      <c r="X102" s="4">
        <v>34.609822706378253</v>
      </c>
      <c r="Y102" s="4">
        <v>31.396211231644187</v>
      </c>
      <c r="Z102" s="4">
        <v>28.208172435871568</v>
      </c>
      <c r="AA102" s="4">
        <v>25.08589702038174</v>
      </c>
      <c r="AB102" s="4">
        <v>23.489423034102295</v>
      </c>
    </row>
    <row r="103" spans="1:28" x14ac:dyDescent="0.25">
      <c r="A103" s="4" t="s">
        <v>25</v>
      </c>
      <c r="B103" s="60">
        <v>25.653400557325135</v>
      </c>
      <c r="C103" s="60">
        <v>28.31106422133174</v>
      </c>
      <c r="D103" s="60">
        <v>31.142626408891559</v>
      </c>
      <c r="E103" s="60">
        <v>33.876810233597908</v>
      </c>
      <c r="F103" s="60">
        <v>35.749364193186622</v>
      </c>
      <c r="G103" s="60">
        <v>36.480113794806527</v>
      </c>
      <c r="H103" s="60">
        <v>36.567881940695237</v>
      </c>
      <c r="I103" s="60">
        <v>35.47998754034171</v>
      </c>
      <c r="J103" s="60">
        <v>32.298509500483625</v>
      </c>
      <c r="K103" s="60">
        <v>29.116090201735393</v>
      </c>
      <c r="L103" s="60">
        <v>25.974958779935829</v>
      </c>
      <c r="M103" s="60">
        <v>24.362807691601375</v>
      </c>
      <c r="P103" s="4" t="s">
        <v>25</v>
      </c>
      <c r="Q103" s="4">
        <v>25.653400557325135</v>
      </c>
      <c r="R103" s="4">
        <v>28.31106422133174</v>
      </c>
      <c r="S103" s="4">
        <v>31.142626408891559</v>
      </c>
      <c r="T103" s="4">
        <v>33.876810233597908</v>
      </c>
      <c r="U103" s="4">
        <v>35.749364193186622</v>
      </c>
      <c r="V103" s="4">
        <v>36.480113794806527</v>
      </c>
      <c r="W103" s="4">
        <v>36.567881940695237</v>
      </c>
      <c r="X103" s="4">
        <v>35.47998754034171</v>
      </c>
      <c r="Y103" s="4">
        <v>32.298509500483625</v>
      </c>
      <c r="Z103" s="4">
        <v>29.116090201735393</v>
      </c>
      <c r="AA103" s="4">
        <v>25.974958779935829</v>
      </c>
      <c r="AB103" s="4">
        <v>24.362807691601375</v>
      </c>
    </row>
    <row r="104" spans="1:28" x14ac:dyDescent="0.25">
      <c r="A104" s="4" t="s">
        <v>26</v>
      </c>
      <c r="B104" s="60">
        <v>72.460414473050164</v>
      </c>
      <c r="C104" s="60">
        <v>78.38541439238125</v>
      </c>
      <c r="D104" s="60">
        <v>81.385418213896713</v>
      </c>
      <c r="E104" s="60">
        <v>79.912745831265482</v>
      </c>
      <c r="F104" s="60">
        <v>77.459246422179831</v>
      </c>
      <c r="G104" s="60">
        <v>75.896097308066672</v>
      </c>
      <c r="H104" s="60">
        <v>76.868048270894917</v>
      </c>
      <c r="I104" s="60">
        <v>79.213302437378516</v>
      </c>
      <c r="J104" s="60">
        <v>79.907047244440392</v>
      </c>
      <c r="K104" s="60">
        <v>77.392468176013367</v>
      </c>
      <c r="L104" s="60">
        <v>72.068954181874957</v>
      </c>
      <c r="M104" s="60">
        <v>69.261510593889611</v>
      </c>
      <c r="P104" s="4" t="s">
        <v>26</v>
      </c>
      <c r="Q104" s="4">
        <v>72.460414473050164</v>
      </c>
      <c r="R104" s="4">
        <v>78.38541439238125</v>
      </c>
      <c r="S104" s="4">
        <v>81.385418213896713</v>
      </c>
      <c r="T104" s="4">
        <v>79.912745831265482</v>
      </c>
      <c r="U104" s="4">
        <v>77.459246422179831</v>
      </c>
      <c r="V104" s="4">
        <v>75.896097308066672</v>
      </c>
      <c r="W104" s="4">
        <v>76.868048270894917</v>
      </c>
      <c r="X104" s="4">
        <v>79.213302437378516</v>
      </c>
      <c r="Y104" s="4">
        <v>79.907047244440392</v>
      </c>
      <c r="Z104" s="4">
        <v>77.392468176013367</v>
      </c>
      <c r="AA104" s="4">
        <v>72.068954181874957</v>
      </c>
      <c r="AB104" s="4">
        <v>69.261510593889611</v>
      </c>
    </row>
    <row r="105" spans="1:28" x14ac:dyDescent="0.25">
      <c r="A105" s="4" t="s">
        <v>27</v>
      </c>
      <c r="B105" s="60">
        <v>134.39767680605436</v>
      </c>
      <c r="C105" s="60">
        <v>145.20213625329981</v>
      </c>
      <c r="D105" s="60">
        <v>148.65775753133659</v>
      </c>
      <c r="E105" s="60">
        <v>141.53628792586076</v>
      </c>
      <c r="F105" s="60">
        <v>133.2746339523419</v>
      </c>
      <c r="G105" s="60">
        <v>128.59216227543274</v>
      </c>
      <c r="H105" s="60">
        <v>130.65916100271798</v>
      </c>
      <c r="I105" s="60">
        <v>137.45426786740973</v>
      </c>
      <c r="J105" s="60">
        <v>143.26895731789782</v>
      </c>
      <c r="K105" s="60">
        <v>141.48285176088598</v>
      </c>
      <c r="L105" s="60">
        <v>132.90443242316798</v>
      </c>
      <c r="M105" s="60">
        <v>128.38440885686947</v>
      </c>
      <c r="P105" s="4" t="s">
        <v>27</v>
      </c>
      <c r="Q105" s="4">
        <v>134.39767680605436</v>
      </c>
      <c r="R105" s="4">
        <v>145.20213625329981</v>
      </c>
      <c r="S105" s="4">
        <v>148.65775753133659</v>
      </c>
      <c r="T105" s="4">
        <v>141.53628792586076</v>
      </c>
      <c r="U105" s="4">
        <v>133.2746339523419</v>
      </c>
      <c r="V105" s="4">
        <v>128.59216227543274</v>
      </c>
      <c r="W105" s="4">
        <v>130.65916100271798</v>
      </c>
      <c r="X105" s="4">
        <v>137.45426786740973</v>
      </c>
      <c r="Y105" s="4">
        <v>143.26895731789782</v>
      </c>
      <c r="Z105" s="4">
        <v>141.48285176088598</v>
      </c>
      <c r="AA105" s="4">
        <v>132.90443242316798</v>
      </c>
      <c r="AB105" s="4">
        <v>128.38440885686947</v>
      </c>
    </row>
    <row r="106" spans="1:28" x14ac:dyDescent="0.25">
      <c r="A106" s="4" t="s">
        <v>28</v>
      </c>
      <c r="B106" s="60">
        <v>175.61426354151541</v>
      </c>
      <c r="C106" s="60">
        <v>190.18583454348681</v>
      </c>
      <c r="D106" s="60">
        <v>194.29649430504537</v>
      </c>
      <c r="E106" s="60">
        <v>184.12295291769615</v>
      </c>
      <c r="F106" s="60">
        <v>173.08062570803219</v>
      </c>
      <c r="G106" s="60">
        <v>166.74529528904205</v>
      </c>
      <c r="H106" s="60">
        <v>168.791397589761</v>
      </c>
      <c r="I106" s="60">
        <v>177.02015624152199</v>
      </c>
      <c r="J106" s="60">
        <v>185.23920950193821</v>
      </c>
      <c r="K106" s="60">
        <v>183.71267541145878</v>
      </c>
      <c r="L106" s="60">
        <v>172.90947306834752</v>
      </c>
      <c r="M106" s="60">
        <v>167.41645225467585</v>
      </c>
      <c r="P106" s="4" t="s">
        <v>28</v>
      </c>
      <c r="Q106" s="4">
        <v>175.61426354151541</v>
      </c>
      <c r="R106" s="4">
        <v>190.18583454348681</v>
      </c>
      <c r="S106" s="4">
        <v>194.29649430504537</v>
      </c>
      <c r="T106" s="4">
        <v>184.12295291769615</v>
      </c>
      <c r="U106" s="4">
        <v>173.08062570803219</v>
      </c>
      <c r="V106" s="4">
        <v>166.74529528904205</v>
      </c>
      <c r="W106" s="4">
        <v>168.791397589761</v>
      </c>
      <c r="X106" s="4">
        <v>177.02015624152199</v>
      </c>
      <c r="Y106" s="4">
        <v>185.23920950193821</v>
      </c>
      <c r="Z106" s="4">
        <v>183.71267541145878</v>
      </c>
      <c r="AA106" s="4">
        <v>172.90947306834752</v>
      </c>
      <c r="AB106" s="4">
        <v>167.41645225467585</v>
      </c>
    </row>
    <row r="107" spans="1:28" x14ac:dyDescent="0.25">
      <c r="A107" s="4" t="s">
        <v>29</v>
      </c>
      <c r="B107" s="60">
        <v>178.79608944010221</v>
      </c>
      <c r="C107" s="60">
        <v>201.58879929956561</v>
      </c>
      <c r="D107" s="60">
        <v>209.86197567649714</v>
      </c>
      <c r="E107" s="60">
        <v>199.95545396955282</v>
      </c>
      <c r="F107" s="60">
        <v>188.41135269167336</v>
      </c>
      <c r="G107" s="60">
        <v>181.3588829725866</v>
      </c>
      <c r="H107" s="60">
        <v>182.72720310627091</v>
      </c>
      <c r="I107" s="60">
        <v>189.9917422394667</v>
      </c>
      <c r="J107" s="60">
        <v>197.02671995114656</v>
      </c>
      <c r="K107" s="60">
        <v>192.08348142421841</v>
      </c>
      <c r="L107" s="60">
        <v>174.75040667779331</v>
      </c>
      <c r="M107" s="60">
        <v>166.2430593348823</v>
      </c>
      <c r="P107" s="4" t="s">
        <v>29</v>
      </c>
      <c r="Q107" s="4">
        <v>178.79608944010221</v>
      </c>
      <c r="R107" s="4">
        <v>201.58879929956561</v>
      </c>
      <c r="S107" s="4">
        <v>209.86197567649714</v>
      </c>
      <c r="T107" s="4">
        <v>199.95545396955282</v>
      </c>
      <c r="U107" s="4">
        <v>188.41135269167336</v>
      </c>
      <c r="V107" s="4">
        <v>181.3588829725866</v>
      </c>
      <c r="W107" s="4">
        <v>182.72720310627091</v>
      </c>
      <c r="X107" s="4">
        <v>189.9917422394667</v>
      </c>
      <c r="Y107" s="4">
        <v>197.02671995114656</v>
      </c>
      <c r="Z107" s="4">
        <v>192.08348142421841</v>
      </c>
      <c r="AA107" s="4">
        <v>174.75040667779331</v>
      </c>
      <c r="AB107" s="4">
        <v>166.2430593348823</v>
      </c>
    </row>
    <row r="108" spans="1:28" x14ac:dyDescent="0.25">
      <c r="A108" s="4" t="s">
        <v>30</v>
      </c>
      <c r="B108" s="60">
        <v>78.361966881975391</v>
      </c>
      <c r="C108" s="60">
        <v>135.28678250422834</v>
      </c>
      <c r="D108" s="60">
        <v>165.6757513599745</v>
      </c>
      <c r="E108" s="60">
        <v>169.41309878970159</v>
      </c>
      <c r="F108" s="60">
        <v>165.22748137797296</v>
      </c>
      <c r="G108" s="60">
        <v>160.40174292294364</v>
      </c>
      <c r="H108" s="60">
        <v>158.80441795086833</v>
      </c>
      <c r="I108" s="60">
        <v>157.2179027490285</v>
      </c>
      <c r="J108" s="60">
        <v>149.03305362685626</v>
      </c>
      <c r="K108" s="60">
        <v>123.24756599208315</v>
      </c>
      <c r="L108" s="60">
        <v>74.468379789097142</v>
      </c>
      <c r="M108" s="60">
        <v>49.466344386103309</v>
      </c>
      <c r="P108" s="4" t="s">
        <v>30</v>
      </c>
      <c r="Q108" s="4">
        <v>78.361966881975391</v>
      </c>
      <c r="R108" s="4">
        <v>135.28678250422834</v>
      </c>
      <c r="S108" s="4">
        <v>165.6757513599745</v>
      </c>
      <c r="T108" s="4">
        <v>169.41309878970159</v>
      </c>
      <c r="U108" s="4">
        <v>165.22748137797296</v>
      </c>
      <c r="V108" s="4">
        <v>160.40174292294364</v>
      </c>
      <c r="W108" s="4">
        <v>158.80441795086833</v>
      </c>
      <c r="X108" s="4">
        <v>157.2179027490285</v>
      </c>
      <c r="Y108" s="4">
        <v>149.03305362685626</v>
      </c>
      <c r="Z108" s="4">
        <v>123.24756599208315</v>
      </c>
      <c r="AA108" s="4">
        <v>74.468379789097142</v>
      </c>
      <c r="AB108" s="4">
        <v>49.466344386103309</v>
      </c>
    </row>
    <row r="109" spans="1:28" x14ac:dyDescent="0.25">
      <c r="A109" s="4" t="s">
        <v>31</v>
      </c>
      <c r="B109" s="60">
        <v>0</v>
      </c>
      <c r="C109" s="60">
        <v>0</v>
      </c>
      <c r="D109" s="60">
        <v>0</v>
      </c>
      <c r="E109" s="60">
        <v>25.089529814517928</v>
      </c>
      <c r="F109" s="60">
        <v>59.074915965215965</v>
      </c>
      <c r="G109" s="60">
        <v>67.63524091434607</v>
      </c>
      <c r="H109" s="60">
        <v>55.909888105118597</v>
      </c>
      <c r="I109" s="60">
        <v>21.62138421572817</v>
      </c>
      <c r="J109" s="60">
        <v>0</v>
      </c>
      <c r="K109" s="60">
        <v>0</v>
      </c>
      <c r="L109" s="60">
        <v>0</v>
      </c>
      <c r="M109" s="60">
        <v>0</v>
      </c>
      <c r="P109" s="4" t="s">
        <v>31</v>
      </c>
      <c r="Q109" s="4">
        <v>0</v>
      </c>
      <c r="R109" s="4">
        <v>0</v>
      </c>
      <c r="S109" s="4">
        <v>0</v>
      </c>
      <c r="T109" s="4">
        <v>25.089529814517928</v>
      </c>
      <c r="U109" s="4">
        <v>59.074915965215965</v>
      </c>
      <c r="V109" s="4">
        <v>67.63524091434607</v>
      </c>
      <c r="W109" s="4">
        <v>55.909888105118597</v>
      </c>
      <c r="X109" s="4">
        <v>21.62138421572817</v>
      </c>
      <c r="Y109" s="4">
        <v>0</v>
      </c>
      <c r="Z109" s="4">
        <v>0</v>
      </c>
      <c r="AA109" s="4">
        <v>0</v>
      </c>
      <c r="AB109" s="4">
        <v>0</v>
      </c>
    </row>
    <row r="110" spans="1:28" x14ac:dyDescent="0.25">
      <c r="A110" s="4" t="s">
        <v>32</v>
      </c>
      <c r="B110" s="60">
        <v>0</v>
      </c>
      <c r="C110" s="60">
        <v>0</v>
      </c>
      <c r="D110" s="60">
        <v>0</v>
      </c>
      <c r="E110" s="60">
        <v>0</v>
      </c>
      <c r="F110" s="60">
        <v>0</v>
      </c>
      <c r="G110" s="60">
        <v>0</v>
      </c>
      <c r="H110" s="60">
        <v>0</v>
      </c>
      <c r="I110" s="60">
        <v>0</v>
      </c>
      <c r="J110" s="60">
        <v>0</v>
      </c>
      <c r="K110" s="60">
        <v>0</v>
      </c>
      <c r="L110" s="60">
        <v>0</v>
      </c>
      <c r="M110" s="60">
        <v>0</v>
      </c>
      <c r="P110" s="4" t="s">
        <v>32</v>
      </c>
      <c r="Q110" s="4">
        <v>0</v>
      </c>
      <c r="R110" s="4">
        <v>0</v>
      </c>
      <c r="S110" s="4">
        <v>0</v>
      </c>
      <c r="T110" s="4">
        <v>0</v>
      </c>
      <c r="U110" s="4">
        <v>0</v>
      </c>
      <c r="V110" s="4">
        <v>0</v>
      </c>
      <c r="W110" s="4">
        <v>0</v>
      </c>
      <c r="X110" s="4">
        <v>0</v>
      </c>
      <c r="Y110" s="4">
        <v>0</v>
      </c>
      <c r="Z110" s="4">
        <v>0</v>
      </c>
      <c r="AA110" s="4">
        <v>0</v>
      </c>
      <c r="AB110" s="4">
        <v>0</v>
      </c>
    </row>
    <row r="111" spans="1:28" x14ac:dyDescent="0.25">
      <c r="A111" s="4" t="s">
        <v>33</v>
      </c>
      <c r="B111" s="60">
        <v>0</v>
      </c>
      <c r="C111" s="60">
        <v>0</v>
      </c>
      <c r="D111" s="60">
        <v>0</v>
      </c>
      <c r="E111" s="60">
        <v>0</v>
      </c>
      <c r="F111" s="60">
        <v>0</v>
      </c>
      <c r="G111" s="60">
        <v>0</v>
      </c>
      <c r="H111" s="60">
        <v>0</v>
      </c>
      <c r="I111" s="60">
        <v>0</v>
      </c>
      <c r="J111" s="60">
        <v>0</v>
      </c>
      <c r="K111" s="60">
        <v>0</v>
      </c>
      <c r="L111" s="60">
        <v>0</v>
      </c>
      <c r="M111" s="60">
        <v>0</v>
      </c>
      <c r="P111" s="4" t="s">
        <v>33</v>
      </c>
      <c r="Q111" s="4">
        <v>0</v>
      </c>
      <c r="R111" s="4">
        <v>0</v>
      </c>
      <c r="S111" s="4">
        <v>0</v>
      </c>
      <c r="T111" s="4">
        <v>0</v>
      </c>
      <c r="U111" s="4">
        <v>0</v>
      </c>
      <c r="V111" s="4">
        <v>0</v>
      </c>
      <c r="W111" s="4">
        <v>0</v>
      </c>
      <c r="X111" s="4">
        <v>0</v>
      </c>
      <c r="Y111" s="4">
        <v>0</v>
      </c>
      <c r="Z111" s="4">
        <v>0</v>
      </c>
      <c r="AA111" s="4">
        <v>0</v>
      </c>
      <c r="AB111" s="4">
        <v>0</v>
      </c>
    </row>
    <row r="112" spans="1:28" x14ac:dyDescent="0.25">
      <c r="A112" s="4" t="s">
        <v>34</v>
      </c>
      <c r="B112" s="60">
        <v>0</v>
      </c>
      <c r="C112" s="60">
        <v>0</v>
      </c>
      <c r="D112" s="60">
        <v>0</v>
      </c>
      <c r="E112" s="60">
        <v>0</v>
      </c>
      <c r="F112" s="60">
        <v>0</v>
      </c>
      <c r="G112" s="60">
        <v>0</v>
      </c>
      <c r="H112" s="60">
        <v>0</v>
      </c>
      <c r="I112" s="60">
        <v>0</v>
      </c>
      <c r="J112" s="60">
        <v>0</v>
      </c>
      <c r="K112" s="60">
        <v>0</v>
      </c>
      <c r="L112" s="60">
        <v>0</v>
      </c>
      <c r="M112" s="60">
        <v>0</v>
      </c>
      <c r="P112" s="4" t="s">
        <v>34</v>
      </c>
      <c r="Q112" s="4">
        <v>0</v>
      </c>
      <c r="R112" s="4">
        <v>0</v>
      </c>
      <c r="S112" s="4">
        <v>0</v>
      </c>
      <c r="T112" s="4">
        <v>0</v>
      </c>
      <c r="U112" s="4">
        <v>0</v>
      </c>
      <c r="V112" s="4">
        <v>0</v>
      </c>
      <c r="W112" s="4">
        <v>0</v>
      </c>
      <c r="X112" s="4">
        <v>0</v>
      </c>
      <c r="Y112" s="4">
        <v>0</v>
      </c>
      <c r="Z112" s="4">
        <v>0</v>
      </c>
      <c r="AA112" s="4">
        <v>0</v>
      </c>
      <c r="AB112" s="4">
        <v>0</v>
      </c>
    </row>
    <row r="113" spans="1:28" x14ac:dyDescent="0.25">
      <c r="A113" s="4" t="s">
        <v>35</v>
      </c>
      <c r="B113" s="60">
        <v>0</v>
      </c>
      <c r="C113" s="60">
        <v>0</v>
      </c>
      <c r="D113" s="60">
        <v>0</v>
      </c>
      <c r="E113" s="60">
        <v>0</v>
      </c>
      <c r="F113" s="60">
        <v>0</v>
      </c>
      <c r="G113" s="60">
        <v>0</v>
      </c>
      <c r="H113" s="60">
        <v>0</v>
      </c>
      <c r="I113" s="60">
        <v>0</v>
      </c>
      <c r="J113" s="60">
        <v>0</v>
      </c>
      <c r="K113" s="60">
        <v>0</v>
      </c>
      <c r="L113" s="60">
        <v>0</v>
      </c>
      <c r="M113" s="60">
        <v>0</v>
      </c>
      <c r="P113" s="4" t="s">
        <v>35</v>
      </c>
      <c r="Q113" s="4">
        <v>0</v>
      </c>
      <c r="R113" s="4">
        <v>0</v>
      </c>
      <c r="S113" s="4">
        <v>0</v>
      </c>
      <c r="T113" s="4">
        <v>0</v>
      </c>
      <c r="U113" s="4">
        <v>0</v>
      </c>
      <c r="V113" s="4">
        <v>0</v>
      </c>
      <c r="W113" s="4">
        <v>0</v>
      </c>
      <c r="X113" s="4">
        <v>0</v>
      </c>
      <c r="Y113" s="4">
        <v>0</v>
      </c>
      <c r="Z113" s="4">
        <v>0</v>
      </c>
      <c r="AA113" s="4">
        <v>0</v>
      </c>
      <c r="AB113" s="4">
        <v>0</v>
      </c>
    </row>
    <row r="114" spans="1:28" x14ac:dyDescent="0.25">
      <c r="A114" s="4" t="s">
        <v>36</v>
      </c>
      <c r="B114" s="60">
        <v>0</v>
      </c>
      <c r="C114" s="60">
        <v>0</v>
      </c>
      <c r="D114" s="60">
        <v>0</v>
      </c>
      <c r="E114" s="60">
        <v>0</v>
      </c>
      <c r="F114" s="60">
        <v>0</v>
      </c>
      <c r="G114" s="60">
        <v>0</v>
      </c>
      <c r="H114" s="60">
        <v>0</v>
      </c>
      <c r="I114" s="60">
        <v>0</v>
      </c>
      <c r="J114" s="60">
        <v>0</v>
      </c>
      <c r="K114" s="60">
        <v>0</v>
      </c>
      <c r="L114" s="60">
        <v>0</v>
      </c>
      <c r="M114" s="60">
        <v>0</v>
      </c>
      <c r="P114" s="4" t="s">
        <v>36</v>
      </c>
      <c r="Q114" s="4">
        <v>0</v>
      </c>
      <c r="R114" s="4">
        <v>0</v>
      </c>
      <c r="S114" s="4">
        <v>0</v>
      </c>
      <c r="T114" s="4">
        <v>0</v>
      </c>
      <c r="U114" s="4">
        <v>0</v>
      </c>
      <c r="V114" s="4">
        <v>0</v>
      </c>
      <c r="W114" s="4">
        <v>0</v>
      </c>
      <c r="X114" s="4">
        <v>0</v>
      </c>
      <c r="Y114" s="4">
        <v>0</v>
      </c>
      <c r="Z114" s="4">
        <v>0</v>
      </c>
      <c r="AA114" s="4">
        <v>0</v>
      </c>
      <c r="AB114" s="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285"/>
  <sheetViews>
    <sheetView topLeftCell="A184" workbookViewId="0">
      <selection activeCell="H210" sqref="H210"/>
    </sheetView>
  </sheetViews>
  <sheetFormatPr defaultRowHeight="15" x14ac:dyDescent="0.25"/>
  <cols>
    <col min="1" max="1" width="10.85546875" bestFit="1" customWidth="1"/>
  </cols>
  <sheetData>
    <row r="1" spans="1:28" s="2" customFormat="1" x14ac:dyDescent="0.25">
      <c r="A1" s="4" t="s">
        <v>344</v>
      </c>
      <c r="B1" s="4"/>
    </row>
    <row r="2" spans="1:28" s="2" customFormat="1" x14ac:dyDescent="0.25">
      <c r="A2" s="4" t="s">
        <v>345</v>
      </c>
      <c r="B2" s="4"/>
    </row>
    <row r="3" spans="1:28" s="4" customFormat="1" x14ac:dyDescent="0.25">
      <c r="A3" s="4" t="s">
        <v>346</v>
      </c>
    </row>
    <row r="4" spans="1:28" s="2" customFormat="1" x14ac:dyDescent="0.25">
      <c r="A4" s="4" t="s">
        <v>347</v>
      </c>
    </row>
    <row r="5" spans="1:28" x14ac:dyDescent="0.25">
      <c r="A5" s="4" t="s">
        <v>348</v>
      </c>
      <c r="B5" s="2"/>
      <c r="C5" s="2"/>
      <c r="D5" s="2"/>
      <c r="E5" s="2"/>
      <c r="F5" s="2"/>
      <c r="G5" s="2"/>
      <c r="H5" s="2"/>
      <c r="I5" s="2"/>
      <c r="J5" s="2"/>
      <c r="K5" s="2"/>
      <c r="L5" s="2"/>
      <c r="M5" s="2"/>
      <c r="O5" s="2"/>
      <c r="P5" s="4"/>
      <c r="Q5" s="4"/>
      <c r="R5" s="4"/>
      <c r="S5" s="4"/>
      <c r="T5" s="4"/>
      <c r="U5" s="4"/>
      <c r="V5" s="4"/>
      <c r="W5" s="4"/>
      <c r="X5" s="4"/>
      <c r="Y5" s="4"/>
      <c r="Z5" s="4"/>
      <c r="AA5" s="4"/>
      <c r="AB5" s="4"/>
    </row>
    <row r="6" spans="1:28" x14ac:dyDescent="0.25">
      <c r="A6" s="4" t="s">
        <v>107</v>
      </c>
      <c r="B6" s="2"/>
      <c r="C6" s="2"/>
      <c r="D6" s="2"/>
      <c r="E6" s="2"/>
      <c r="F6" s="2"/>
      <c r="G6" s="2"/>
      <c r="H6" s="2"/>
      <c r="I6" s="2"/>
      <c r="J6" s="2"/>
      <c r="K6" s="2"/>
      <c r="L6" s="2"/>
      <c r="M6" s="2"/>
      <c r="O6" s="2"/>
      <c r="P6" s="4"/>
      <c r="Q6" s="4"/>
      <c r="R6" s="4"/>
      <c r="S6" s="4"/>
      <c r="T6" s="4"/>
      <c r="U6" s="4"/>
      <c r="V6" s="4"/>
      <c r="W6" s="4"/>
      <c r="X6" s="4"/>
      <c r="Y6" s="4"/>
      <c r="Z6" s="4"/>
      <c r="AA6" s="4"/>
      <c r="AB6" s="4"/>
    </row>
    <row r="7" spans="1:28" x14ac:dyDescent="0.25">
      <c r="A7" s="2"/>
      <c r="B7" s="2"/>
      <c r="C7" s="2"/>
      <c r="D7" s="2"/>
      <c r="E7" s="2"/>
      <c r="F7" s="2"/>
      <c r="G7" s="2"/>
      <c r="H7" s="2"/>
      <c r="I7" s="2"/>
      <c r="J7" s="2"/>
      <c r="K7" s="2"/>
      <c r="L7" s="2"/>
      <c r="M7" s="2"/>
      <c r="P7" s="4"/>
      <c r="Q7" s="4"/>
      <c r="R7" s="4"/>
      <c r="S7" s="4"/>
      <c r="T7" s="4"/>
      <c r="U7" s="4"/>
      <c r="V7" s="4"/>
      <c r="W7" s="4"/>
      <c r="X7" s="4"/>
      <c r="Y7" s="4"/>
      <c r="Z7" s="4"/>
      <c r="AA7" s="4"/>
      <c r="AB7" s="4"/>
    </row>
    <row r="8" spans="1:28" x14ac:dyDescent="0.25">
      <c r="A8" s="4" t="s">
        <v>349</v>
      </c>
      <c r="B8" s="2"/>
      <c r="C8" s="2"/>
      <c r="D8" s="2"/>
      <c r="E8" s="2"/>
      <c r="F8" s="2"/>
      <c r="G8" s="2"/>
      <c r="H8" s="2"/>
      <c r="I8" s="2"/>
      <c r="J8" s="2"/>
      <c r="K8" s="2"/>
      <c r="L8" s="2"/>
      <c r="M8" s="2"/>
      <c r="P8" s="4"/>
      <c r="Q8" s="4"/>
      <c r="R8" s="4"/>
      <c r="S8" s="4"/>
      <c r="T8" s="4"/>
      <c r="U8" s="4"/>
      <c r="V8" s="4"/>
      <c r="W8" s="4"/>
      <c r="X8" s="4"/>
      <c r="Y8" s="4"/>
      <c r="Z8" s="4"/>
      <c r="AA8" s="4"/>
      <c r="AB8" s="4"/>
    </row>
    <row r="9" spans="1:28" x14ac:dyDescent="0.25">
      <c r="A9" s="2"/>
      <c r="B9" s="2"/>
      <c r="C9" s="2"/>
      <c r="D9" s="2"/>
      <c r="E9" s="2"/>
      <c r="F9" s="2"/>
      <c r="G9" s="2"/>
      <c r="H9" s="2"/>
      <c r="I9" s="2"/>
      <c r="J9" s="2"/>
      <c r="K9" s="2"/>
      <c r="L9" s="2"/>
      <c r="M9" s="2"/>
      <c r="P9" s="4"/>
      <c r="Q9" s="4"/>
      <c r="R9" s="4"/>
      <c r="S9" s="4"/>
      <c r="T9" s="4"/>
      <c r="U9" s="4"/>
      <c r="V9" s="4"/>
      <c r="W9" s="4"/>
      <c r="X9" s="4"/>
      <c r="Y9" s="4"/>
      <c r="Z9" s="4"/>
      <c r="AA9" s="4"/>
      <c r="AB9" s="4"/>
    </row>
    <row r="10" spans="1:28" x14ac:dyDescent="0.25">
      <c r="A10" s="4" t="s">
        <v>108</v>
      </c>
      <c r="B10" s="2"/>
      <c r="C10" s="2"/>
      <c r="D10" s="2"/>
      <c r="E10" s="2"/>
      <c r="F10" s="2"/>
      <c r="G10" s="2"/>
      <c r="H10" s="2"/>
      <c r="I10" s="2"/>
      <c r="J10" s="2"/>
      <c r="K10" s="2"/>
      <c r="L10" s="2"/>
      <c r="M10" s="2"/>
      <c r="P10" s="4"/>
      <c r="Q10" s="4"/>
      <c r="R10" s="4"/>
      <c r="S10" s="4"/>
      <c r="T10" s="4"/>
      <c r="U10" s="4"/>
      <c r="V10" s="4"/>
      <c r="W10" s="4"/>
      <c r="X10" s="4"/>
      <c r="Y10" s="4"/>
      <c r="Z10" s="4"/>
      <c r="AA10" s="4"/>
      <c r="AB10" s="4"/>
    </row>
    <row r="11" spans="1:28" x14ac:dyDescent="0.25">
      <c r="A11" s="2"/>
      <c r="B11" s="2"/>
      <c r="C11" s="2"/>
      <c r="D11" s="2"/>
      <c r="E11" s="2"/>
      <c r="F11" s="2"/>
      <c r="G11" s="2"/>
      <c r="H11" s="2"/>
      <c r="I11" s="2"/>
      <c r="J11" s="2"/>
      <c r="K11" s="2"/>
      <c r="L11" s="2"/>
      <c r="M11" s="2"/>
      <c r="P11" s="4"/>
      <c r="Q11" s="4"/>
      <c r="R11" s="4"/>
      <c r="S11" s="4"/>
      <c r="T11" s="4"/>
      <c r="U11" s="4"/>
      <c r="V11" s="4"/>
      <c r="W11" s="4"/>
      <c r="X11" s="4"/>
      <c r="Y11" s="4"/>
      <c r="Z11" s="4"/>
      <c r="AA11" s="4"/>
      <c r="AB11" s="4"/>
    </row>
    <row r="12" spans="1:28" x14ac:dyDescent="0.25">
      <c r="A12" s="4" t="s">
        <v>109</v>
      </c>
      <c r="B12" s="2"/>
      <c r="C12" s="2"/>
      <c r="D12" s="2"/>
      <c r="E12" s="2"/>
      <c r="F12" s="2"/>
      <c r="G12" s="2"/>
      <c r="H12" s="2"/>
      <c r="I12" s="2"/>
      <c r="J12" s="2"/>
      <c r="K12" s="2"/>
      <c r="L12" s="2"/>
      <c r="M12" s="2"/>
      <c r="P12" s="4"/>
      <c r="Q12" s="4"/>
      <c r="R12" s="4"/>
      <c r="S12" s="4"/>
      <c r="T12" s="4"/>
      <c r="U12" s="4"/>
      <c r="V12" s="4"/>
      <c r="W12" s="4"/>
      <c r="X12" s="4"/>
      <c r="Y12" s="4"/>
      <c r="Z12" s="4"/>
      <c r="AA12" s="4"/>
      <c r="AB12" s="4"/>
    </row>
    <row r="13" spans="1:28" x14ac:dyDescent="0.25">
      <c r="A13" s="4" t="s">
        <v>110</v>
      </c>
      <c r="B13" s="2"/>
      <c r="C13" s="2"/>
      <c r="D13" s="2"/>
      <c r="E13" s="2"/>
      <c r="F13" s="2"/>
      <c r="G13" s="2"/>
      <c r="H13" s="2"/>
      <c r="I13" s="2"/>
      <c r="J13" s="2"/>
      <c r="K13" s="2"/>
      <c r="L13" s="2"/>
      <c r="M13" s="2"/>
      <c r="P13" s="4"/>
      <c r="Q13" s="4"/>
      <c r="R13" s="4"/>
      <c r="S13" s="4"/>
      <c r="T13" s="4"/>
      <c r="U13" s="4"/>
      <c r="V13" s="4"/>
      <c r="W13" s="4"/>
      <c r="X13" s="4"/>
      <c r="Y13" s="4"/>
      <c r="Z13" s="4"/>
      <c r="AA13" s="4"/>
      <c r="AB13" s="4"/>
    </row>
    <row r="14" spans="1:28" x14ac:dyDescent="0.25">
      <c r="A14" s="4" t="s">
        <v>111</v>
      </c>
      <c r="B14" s="2"/>
      <c r="C14" s="2"/>
      <c r="D14" s="2"/>
      <c r="E14" s="2"/>
      <c r="F14" s="2"/>
      <c r="G14" s="2"/>
      <c r="H14" s="2"/>
      <c r="I14" s="2"/>
      <c r="J14" s="2"/>
      <c r="K14" s="2"/>
      <c r="L14" s="2"/>
      <c r="M14" s="2"/>
      <c r="P14" s="4"/>
      <c r="Q14" s="4"/>
      <c r="R14" s="4"/>
      <c r="S14" s="4"/>
      <c r="T14" s="4"/>
      <c r="U14" s="4"/>
      <c r="V14" s="4"/>
      <c r="W14" s="4"/>
      <c r="X14" s="4"/>
      <c r="Y14" s="4"/>
      <c r="Z14" s="4"/>
      <c r="AA14" s="4"/>
      <c r="AB14" s="4"/>
    </row>
    <row r="15" spans="1:28" x14ac:dyDescent="0.25">
      <c r="A15" s="4" t="s">
        <v>112</v>
      </c>
      <c r="B15" s="2"/>
      <c r="C15" s="2"/>
      <c r="D15" s="2"/>
      <c r="E15" s="2"/>
      <c r="F15" s="2"/>
      <c r="G15" s="2"/>
      <c r="H15" s="2"/>
      <c r="I15" s="2"/>
      <c r="J15" s="2"/>
      <c r="K15" s="2"/>
      <c r="L15" s="2"/>
      <c r="M15" s="2"/>
      <c r="P15" s="4"/>
      <c r="Q15" s="4"/>
      <c r="R15" s="4"/>
      <c r="S15" s="4"/>
      <c r="T15" s="4"/>
      <c r="U15" s="4"/>
      <c r="V15" s="4"/>
      <c r="W15" s="4"/>
      <c r="X15" s="4"/>
      <c r="Y15" s="4"/>
      <c r="Z15" s="4"/>
      <c r="AA15" s="4"/>
      <c r="AB15" s="4"/>
    </row>
    <row r="16" spans="1:28" x14ac:dyDescent="0.25">
      <c r="A16" s="2"/>
      <c r="B16" s="2"/>
      <c r="C16" s="2"/>
      <c r="D16" s="2"/>
      <c r="E16" s="2"/>
      <c r="F16" s="2"/>
      <c r="G16" s="2"/>
      <c r="H16" s="2"/>
      <c r="I16" s="2"/>
      <c r="J16" s="2"/>
      <c r="K16" s="2"/>
      <c r="L16" s="2"/>
      <c r="M16" s="2"/>
      <c r="P16" s="4"/>
      <c r="Q16" s="4"/>
      <c r="R16" s="4"/>
      <c r="S16" s="4"/>
      <c r="T16" s="4"/>
      <c r="U16" s="4"/>
      <c r="V16" s="4"/>
      <c r="W16" s="4"/>
      <c r="X16" s="4"/>
      <c r="Y16" s="4"/>
      <c r="Z16" s="4"/>
      <c r="AA16" s="4"/>
      <c r="AB16" s="4"/>
    </row>
    <row r="17" spans="1:34" x14ac:dyDescent="0.25">
      <c r="A17" s="4" t="s">
        <v>113</v>
      </c>
      <c r="B17" s="4" t="s">
        <v>114</v>
      </c>
      <c r="C17" s="4" t="s">
        <v>115</v>
      </c>
      <c r="D17" s="4" t="s">
        <v>116</v>
      </c>
      <c r="E17" s="4" t="s">
        <v>117</v>
      </c>
      <c r="F17" s="4" t="s">
        <v>118</v>
      </c>
      <c r="G17" s="4" t="s">
        <v>119</v>
      </c>
      <c r="H17" s="4" t="s">
        <v>120</v>
      </c>
      <c r="I17" s="4" t="s">
        <v>121</v>
      </c>
      <c r="J17" s="4" t="s">
        <v>122</v>
      </c>
      <c r="K17" s="4" t="s">
        <v>123</v>
      </c>
      <c r="L17" s="4" t="s">
        <v>124</v>
      </c>
      <c r="M17" s="4" t="s">
        <v>125</v>
      </c>
      <c r="N17" s="4" t="s">
        <v>126</v>
      </c>
      <c r="O17" s="4" t="s">
        <v>127</v>
      </c>
      <c r="P17" s="4" t="s">
        <v>128</v>
      </c>
      <c r="Q17" s="4" t="s">
        <v>129</v>
      </c>
      <c r="R17" s="4"/>
      <c r="S17" s="4"/>
      <c r="T17" s="4"/>
      <c r="U17" s="4"/>
      <c r="V17" s="4"/>
      <c r="W17" s="4"/>
      <c r="X17" s="4"/>
      <c r="Y17" s="4"/>
      <c r="Z17" s="4"/>
      <c r="AA17" s="4"/>
      <c r="AB17" s="4"/>
    </row>
    <row r="18" spans="1:34" x14ac:dyDescent="0.25">
      <c r="A18" s="4" t="s">
        <v>113</v>
      </c>
      <c r="B18" s="4" t="s">
        <v>130</v>
      </c>
      <c r="C18" s="4" t="s">
        <v>131</v>
      </c>
      <c r="D18" s="4" t="s">
        <v>132</v>
      </c>
      <c r="E18" s="4" t="s">
        <v>132</v>
      </c>
      <c r="F18" s="4" t="s">
        <v>132</v>
      </c>
      <c r="G18" s="4" t="s">
        <v>131</v>
      </c>
      <c r="H18" s="4" t="s">
        <v>132</v>
      </c>
      <c r="I18" s="4" t="s">
        <v>132</v>
      </c>
      <c r="J18" s="4" t="s">
        <v>131</v>
      </c>
      <c r="K18" s="4" t="s">
        <v>132</v>
      </c>
      <c r="L18" s="4" t="s">
        <v>133</v>
      </c>
      <c r="M18" s="4" t="s">
        <v>132</v>
      </c>
      <c r="N18" s="4" t="s">
        <v>133</v>
      </c>
      <c r="O18" s="4" t="s">
        <v>132</v>
      </c>
      <c r="P18" s="4" t="s">
        <v>133</v>
      </c>
      <c r="Q18" s="4" t="s">
        <v>134</v>
      </c>
      <c r="R18" s="4"/>
      <c r="S18" s="4"/>
      <c r="T18" s="4"/>
      <c r="U18" s="4"/>
      <c r="V18" s="4"/>
      <c r="W18" s="4"/>
      <c r="X18" s="4"/>
      <c r="Y18" s="4"/>
      <c r="Z18" s="4"/>
      <c r="AA18" s="4"/>
      <c r="AB18" s="4"/>
    </row>
    <row r="19" spans="1:34" x14ac:dyDescent="0.25">
      <c r="A19" s="4" t="s">
        <v>113</v>
      </c>
      <c r="B19" s="4" t="s">
        <v>60</v>
      </c>
      <c r="C19" s="2">
        <v>2</v>
      </c>
      <c r="D19" s="2">
        <v>16.2</v>
      </c>
      <c r="E19" s="2">
        <v>17.399999999999999</v>
      </c>
      <c r="F19" s="2">
        <v>10.8</v>
      </c>
      <c r="G19" s="2">
        <v>8.1</v>
      </c>
      <c r="H19" s="2">
        <v>20.8</v>
      </c>
      <c r="I19" s="2">
        <v>11.9</v>
      </c>
      <c r="J19" s="2">
        <v>8.6999999999999993</v>
      </c>
      <c r="K19" s="2">
        <v>21</v>
      </c>
      <c r="L19" s="2">
        <v>10.9</v>
      </c>
      <c r="M19" s="2">
        <v>24.3</v>
      </c>
      <c r="N19">
        <v>9.9</v>
      </c>
      <c r="O19">
        <v>24.1</v>
      </c>
      <c r="P19" s="4">
        <v>1.9</v>
      </c>
      <c r="Q19" s="4">
        <v>320</v>
      </c>
      <c r="R19" s="4"/>
      <c r="S19" s="4"/>
      <c r="T19" s="4"/>
      <c r="U19" s="4"/>
      <c r="V19" s="4"/>
      <c r="W19" s="4"/>
      <c r="X19" s="4"/>
      <c r="Y19" s="4"/>
      <c r="Z19" s="4"/>
      <c r="AA19" s="4"/>
      <c r="AB19" s="4"/>
    </row>
    <row r="20" spans="1:34" x14ac:dyDescent="0.25">
      <c r="A20" s="2"/>
      <c r="B20" s="2"/>
      <c r="C20" s="2"/>
      <c r="D20" s="2"/>
      <c r="E20" s="2"/>
      <c r="F20" s="2"/>
      <c r="G20" s="2"/>
      <c r="H20" s="2"/>
      <c r="I20" s="2"/>
      <c r="J20" s="2"/>
      <c r="K20" s="2"/>
      <c r="L20" s="2"/>
      <c r="M20" s="2"/>
      <c r="P20" s="4"/>
      <c r="Q20" s="4"/>
      <c r="R20" s="4"/>
      <c r="S20" s="4"/>
      <c r="T20" s="4"/>
      <c r="U20" s="4"/>
      <c r="V20" s="4"/>
      <c r="W20" s="4"/>
      <c r="X20" s="4"/>
      <c r="Y20" s="4"/>
      <c r="Z20" s="4"/>
      <c r="AA20" s="4"/>
      <c r="AB20" s="4"/>
    </row>
    <row r="21" spans="1:34" x14ac:dyDescent="0.25">
      <c r="A21" s="4" t="s">
        <v>113</v>
      </c>
      <c r="B21" s="4" t="s">
        <v>114</v>
      </c>
      <c r="C21" s="4" t="s">
        <v>135</v>
      </c>
      <c r="D21" s="4" t="s">
        <v>136</v>
      </c>
      <c r="E21" s="4" t="s">
        <v>137</v>
      </c>
      <c r="F21" s="4" t="s">
        <v>138</v>
      </c>
      <c r="G21" s="4" t="s">
        <v>139</v>
      </c>
      <c r="H21" s="4" t="s">
        <v>140</v>
      </c>
      <c r="I21" s="4" t="s">
        <v>141</v>
      </c>
      <c r="J21" s="4" t="s">
        <v>142</v>
      </c>
      <c r="K21" s="4" t="s">
        <v>143</v>
      </c>
      <c r="L21" s="4" t="s">
        <v>144</v>
      </c>
      <c r="M21" s="4" t="s">
        <v>145</v>
      </c>
      <c r="N21" s="4" t="s">
        <v>146</v>
      </c>
      <c r="O21" s="4" t="s">
        <v>147</v>
      </c>
      <c r="P21" s="4" t="s">
        <v>148</v>
      </c>
      <c r="Q21" s="4" t="s">
        <v>149</v>
      </c>
      <c r="R21" s="4" t="s">
        <v>150</v>
      </c>
      <c r="S21" s="4" t="s">
        <v>151</v>
      </c>
      <c r="T21" s="4" t="s">
        <v>152</v>
      </c>
      <c r="U21" s="4" t="s">
        <v>153</v>
      </c>
      <c r="V21" s="4" t="s">
        <v>154</v>
      </c>
      <c r="W21" s="4" t="s">
        <v>155</v>
      </c>
      <c r="X21" s="4" t="s">
        <v>156</v>
      </c>
      <c r="Y21" s="4" t="s">
        <v>157</v>
      </c>
      <c r="Z21" s="4" t="s">
        <v>158</v>
      </c>
      <c r="AA21" s="4" t="s">
        <v>159</v>
      </c>
      <c r="AB21" s="4" t="s">
        <v>160</v>
      </c>
      <c r="AC21" s="4" t="s">
        <v>161</v>
      </c>
      <c r="AD21" s="4" t="s">
        <v>162</v>
      </c>
      <c r="AE21" s="4" t="s">
        <v>163</v>
      </c>
      <c r="AF21" s="4" t="s">
        <v>164</v>
      </c>
      <c r="AG21" s="4" t="s">
        <v>165</v>
      </c>
      <c r="AH21" s="4" t="s">
        <v>166</v>
      </c>
    </row>
    <row r="22" spans="1:34" x14ac:dyDescent="0.25">
      <c r="A22" s="4" t="s">
        <v>113</v>
      </c>
      <c r="B22" s="4" t="s">
        <v>130</v>
      </c>
      <c r="C22" s="4" t="s">
        <v>131</v>
      </c>
      <c r="D22" s="4" t="s">
        <v>132</v>
      </c>
      <c r="E22" s="4" t="s">
        <v>132</v>
      </c>
      <c r="F22" s="4" t="s">
        <v>132</v>
      </c>
      <c r="G22" s="4" t="s">
        <v>132</v>
      </c>
      <c r="H22" s="4" t="s">
        <v>132</v>
      </c>
      <c r="I22" s="4" t="s">
        <v>132</v>
      </c>
      <c r="J22" s="4" t="s">
        <v>132</v>
      </c>
      <c r="K22" s="4" t="s">
        <v>132</v>
      </c>
      <c r="L22" s="4" t="s">
        <v>132</v>
      </c>
      <c r="M22" s="4" t="s">
        <v>132</v>
      </c>
      <c r="N22" s="4" t="s">
        <v>132</v>
      </c>
      <c r="O22" s="4" t="s">
        <v>132</v>
      </c>
      <c r="P22" s="4" t="s">
        <v>132</v>
      </c>
      <c r="Q22" s="4" t="s">
        <v>133</v>
      </c>
      <c r="R22" s="4" t="s">
        <v>134</v>
      </c>
      <c r="S22" s="4" t="s">
        <v>132</v>
      </c>
      <c r="T22" s="4" t="s">
        <v>131</v>
      </c>
      <c r="U22" s="4" t="s">
        <v>132</v>
      </c>
      <c r="V22" s="4" t="s">
        <v>132</v>
      </c>
      <c r="W22" s="4" t="s">
        <v>131</v>
      </c>
      <c r="X22" s="4" t="s">
        <v>132</v>
      </c>
      <c r="Y22" s="4" t="s">
        <v>132</v>
      </c>
      <c r="Z22" s="4" t="s">
        <v>131</v>
      </c>
      <c r="AA22" s="4" t="s">
        <v>132</v>
      </c>
      <c r="AB22" s="4" t="s">
        <v>167</v>
      </c>
      <c r="AC22" s="4" t="s">
        <v>132</v>
      </c>
      <c r="AD22" s="4" t="s">
        <v>167</v>
      </c>
      <c r="AE22" s="4" t="s">
        <v>132</v>
      </c>
      <c r="AF22" s="4" t="s">
        <v>167</v>
      </c>
      <c r="AG22" s="4" t="s">
        <v>132</v>
      </c>
      <c r="AH22" s="4" t="s">
        <v>131</v>
      </c>
    </row>
    <row r="23" spans="1:34" x14ac:dyDescent="0.25">
      <c r="A23" s="4" t="s">
        <v>113</v>
      </c>
      <c r="B23" s="4" t="s">
        <v>59</v>
      </c>
      <c r="C23" s="2">
        <v>8</v>
      </c>
      <c r="D23" s="2">
        <v>7.1</v>
      </c>
      <c r="E23" s="2">
        <v>32.200000000000003</v>
      </c>
      <c r="F23" s="2">
        <v>23.3</v>
      </c>
      <c r="G23" s="2">
        <v>31.7</v>
      </c>
      <c r="H23" s="2">
        <v>23.1</v>
      </c>
      <c r="I23" s="2">
        <v>31.2</v>
      </c>
      <c r="J23" s="2">
        <v>23</v>
      </c>
      <c r="K23" s="2">
        <v>25.1</v>
      </c>
      <c r="L23" s="2">
        <v>29.3</v>
      </c>
      <c r="M23" s="2">
        <v>24.6</v>
      </c>
      <c r="N23">
        <v>29</v>
      </c>
      <c r="O23">
        <v>24.2</v>
      </c>
      <c r="P23" s="4">
        <v>28.7</v>
      </c>
      <c r="Q23" s="4">
        <v>6.7</v>
      </c>
      <c r="R23" s="4">
        <v>60</v>
      </c>
      <c r="S23" s="4">
        <v>23.9</v>
      </c>
      <c r="T23" s="4">
        <v>18.8</v>
      </c>
      <c r="U23" s="4">
        <v>27.4</v>
      </c>
      <c r="V23" s="4">
        <v>23.3</v>
      </c>
      <c r="W23" s="4">
        <v>18</v>
      </c>
      <c r="X23" s="4">
        <v>27</v>
      </c>
      <c r="Y23" s="4">
        <v>22.7</v>
      </c>
      <c r="Z23" s="4">
        <v>17.5</v>
      </c>
      <c r="AA23" s="4">
        <v>26.8</v>
      </c>
      <c r="AB23" s="4">
        <v>76.3</v>
      </c>
      <c r="AC23">
        <v>29.3</v>
      </c>
      <c r="AD23">
        <v>74.2</v>
      </c>
      <c r="AE23">
        <v>29.1</v>
      </c>
      <c r="AF23">
        <v>72.400000000000006</v>
      </c>
      <c r="AG23">
        <v>28.8</v>
      </c>
      <c r="AH23">
        <v>37</v>
      </c>
    </row>
    <row r="24" spans="1:34" x14ac:dyDescent="0.25">
      <c r="A24" s="2"/>
      <c r="B24" s="2"/>
      <c r="C24" s="2"/>
      <c r="D24" s="2"/>
      <c r="E24" s="2"/>
      <c r="F24" s="2"/>
      <c r="G24" s="2"/>
      <c r="H24" s="2"/>
      <c r="I24" s="2"/>
      <c r="J24" s="2"/>
      <c r="K24" s="2"/>
      <c r="L24" s="2"/>
      <c r="M24" s="2"/>
      <c r="P24" s="4"/>
      <c r="Q24" s="4"/>
      <c r="R24" s="4"/>
      <c r="S24" s="4"/>
      <c r="T24" s="4"/>
      <c r="U24" s="4"/>
      <c r="V24" s="4"/>
      <c r="W24" s="4"/>
      <c r="X24" s="4"/>
      <c r="Y24" s="4"/>
      <c r="Z24" s="4"/>
      <c r="AA24" s="4"/>
      <c r="AB24" s="4"/>
    </row>
    <row r="25" spans="1:34" x14ac:dyDescent="0.25">
      <c r="A25" s="4" t="s">
        <v>113</v>
      </c>
      <c r="B25" s="4" t="s">
        <v>114</v>
      </c>
      <c r="C25" s="4" t="s">
        <v>168</v>
      </c>
      <c r="D25" s="4" t="s">
        <v>169</v>
      </c>
      <c r="E25" s="4" t="s">
        <v>170</v>
      </c>
      <c r="F25" s="4" t="s">
        <v>171</v>
      </c>
      <c r="G25" s="4" t="s">
        <v>172</v>
      </c>
      <c r="H25" s="4" t="s">
        <v>173</v>
      </c>
      <c r="I25" s="4" t="s">
        <v>174</v>
      </c>
      <c r="J25" s="4" t="s">
        <v>175</v>
      </c>
      <c r="K25" s="4" t="s">
        <v>176</v>
      </c>
      <c r="L25" s="4" t="s">
        <v>177</v>
      </c>
      <c r="M25" s="4" t="s">
        <v>178</v>
      </c>
      <c r="N25" s="4" t="s">
        <v>179</v>
      </c>
      <c r="O25" s="4" t="s">
        <v>180</v>
      </c>
      <c r="P25" s="4" t="s">
        <v>181</v>
      </c>
      <c r="Q25" s="4" t="s">
        <v>182</v>
      </c>
      <c r="R25" s="4" t="s">
        <v>183</v>
      </c>
      <c r="S25" s="4"/>
      <c r="T25" s="4"/>
      <c r="U25" s="4"/>
      <c r="V25" s="4"/>
      <c r="W25" s="4"/>
      <c r="X25" s="4"/>
      <c r="Y25" s="4"/>
      <c r="Z25" s="4"/>
      <c r="AA25" s="4"/>
      <c r="AB25" s="4"/>
    </row>
    <row r="26" spans="1:34" x14ac:dyDescent="0.25">
      <c r="A26" s="4" t="s">
        <v>113</v>
      </c>
      <c r="B26" s="4" t="s">
        <v>130</v>
      </c>
      <c r="C26" s="4" t="s">
        <v>133</v>
      </c>
      <c r="D26" s="4" t="s">
        <v>133</v>
      </c>
      <c r="E26" s="4" t="s">
        <v>133</v>
      </c>
      <c r="F26" s="4" t="s">
        <v>132</v>
      </c>
      <c r="G26" s="4" t="s">
        <v>132</v>
      </c>
      <c r="H26" s="4" t="s">
        <v>132</v>
      </c>
      <c r="I26" s="4" t="s">
        <v>132</v>
      </c>
      <c r="J26" s="4" t="s">
        <v>132</v>
      </c>
      <c r="K26" s="4" t="s">
        <v>132</v>
      </c>
      <c r="L26" s="4" t="s">
        <v>132</v>
      </c>
      <c r="M26" s="4" t="s">
        <v>132</v>
      </c>
      <c r="N26" s="4" t="s">
        <v>132</v>
      </c>
      <c r="O26" s="4" t="s">
        <v>132</v>
      </c>
      <c r="P26" s="4" t="s">
        <v>132</v>
      </c>
      <c r="Q26" s="4" t="s">
        <v>132</v>
      </c>
      <c r="R26" s="4" t="s">
        <v>132</v>
      </c>
      <c r="S26" s="4"/>
      <c r="T26" s="4"/>
      <c r="U26" s="4"/>
      <c r="V26" s="4"/>
      <c r="W26" s="4"/>
      <c r="X26" s="4"/>
      <c r="Y26" s="4"/>
      <c r="Z26" s="4"/>
      <c r="AA26" s="4"/>
      <c r="AB26" s="4"/>
    </row>
    <row r="27" spans="1:34" x14ac:dyDescent="0.25">
      <c r="A27" s="4" t="s">
        <v>113</v>
      </c>
      <c r="B27" s="4" t="s">
        <v>184</v>
      </c>
      <c r="C27" s="2">
        <v>9.8000000000000007</v>
      </c>
      <c r="D27" s="2">
        <v>9</v>
      </c>
      <c r="E27" s="2">
        <v>8.4</v>
      </c>
      <c r="F27" s="2">
        <v>27.4</v>
      </c>
      <c r="G27" s="2">
        <v>14.2</v>
      </c>
      <c r="H27" s="2">
        <v>33.1</v>
      </c>
      <c r="I27" s="2">
        <v>1.2</v>
      </c>
      <c r="J27" s="2">
        <v>0.9</v>
      </c>
      <c r="K27" s="2">
        <v>13.3</v>
      </c>
      <c r="L27" s="2">
        <v>33.799999999999997</v>
      </c>
      <c r="M27" s="2">
        <v>12.6</v>
      </c>
      <c r="N27">
        <v>34.299999999999997</v>
      </c>
      <c r="O27">
        <v>11.9</v>
      </c>
      <c r="P27" s="4">
        <v>34.799999999999997</v>
      </c>
      <c r="Q27" s="4">
        <v>11</v>
      </c>
      <c r="R27" s="4">
        <v>35.5</v>
      </c>
      <c r="S27" s="4"/>
      <c r="T27" s="4"/>
      <c r="U27" s="4"/>
      <c r="V27" s="4"/>
      <c r="W27" s="4"/>
      <c r="X27" s="4"/>
      <c r="Y27" s="4"/>
      <c r="Z27" s="4"/>
      <c r="AA27" s="4"/>
      <c r="AB27" s="4"/>
    </row>
    <row r="28" spans="1:34" x14ac:dyDescent="0.25">
      <c r="A28" s="2"/>
      <c r="B28" s="2"/>
      <c r="C28" s="2"/>
      <c r="D28" s="2"/>
      <c r="E28" s="2"/>
      <c r="F28" s="2"/>
      <c r="G28" s="2"/>
      <c r="H28" s="2"/>
      <c r="I28" s="2"/>
      <c r="J28" s="2"/>
      <c r="K28" s="2"/>
      <c r="L28" s="2"/>
      <c r="M28" s="2"/>
      <c r="P28" s="4"/>
      <c r="Q28" s="4"/>
      <c r="R28" s="4"/>
      <c r="S28" s="4"/>
      <c r="T28" s="4"/>
      <c r="U28" s="4"/>
      <c r="V28" s="4"/>
      <c r="W28" s="4"/>
      <c r="X28" s="4"/>
      <c r="Y28" s="4"/>
      <c r="Z28" s="4"/>
      <c r="AA28" s="4"/>
      <c r="AB28" s="4"/>
    </row>
    <row r="29" spans="1:34" x14ac:dyDescent="0.25">
      <c r="A29" s="4" t="s">
        <v>185</v>
      </c>
      <c r="B29" s="2"/>
      <c r="C29" s="2"/>
      <c r="D29" s="2"/>
      <c r="E29" s="2"/>
      <c r="F29" s="2"/>
      <c r="G29" s="2"/>
      <c r="H29" s="2"/>
      <c r="I29" s="2"/>
      <c r="J29" s="2"/>
      <c r="K29" s="2"/>
      <c r="L29" s="2"/>
      <c r="M29" s="2"/>
      <c r="P29" s="4"/>
      <c r="Q29" s="4"/>
      <c r="R29" s="4"/>
      <c r="S29" s="4"/>
      <c r="T29" s="4"/>
      <c r="U29" s="4"/>
      <c r="V29" s="4"/>
      <c r="W29" s="4"/>
      <c r="X29" s="4"/>
      <c r="Y29" s="4"/>
      <c r="Z29" s="4"/>
      <c r="AA29" s="4"/>
      <c r="AB29" s="4"/>
    </row>
    <row r="30" spans="1:34" x14ac:dyDescent="0.25">
      <c r="A30" s="4" t="s">
        <v>186</v>
      </c>
      <c r="B30" s="4" t="s">
        <v>0</v>
      </c>
      <c r="C30" s="4" t="s">
        <v>1</v>
      </c>
      <c r="D30" s="4" t="s">
        <v>2</v>
      </c>
      <c r="E30" s="4" t="s">
        <v>3</v>
      </c>
      <c r="F30" s="4" t="s">
        <v>4</v>
      </c>
      <c r="G30" s="4" t="s">
        <v>5</v>
      </c>
      <c r="H30" s="4" t="s">
        <v>6</v>
      </c>
      <c r="I30" s="4" t="s">
        <v>7</v>
      </c>
      <c r="J30" s="4" t="s">
        <v>8</v>
      </c>
      <c r="K30" s="4" t="s">
        <v>9</v>
      </c>
      <c r="L30" s="4" t="s">
        <v>10</v>
      </c>
      <c r="M30" s="4" t="s">
        <v>11</v>
      </c>
      <c r="N30" s="4" t="s">
        <v>12</v>
      </c>
    </row>
    <row r="31" spans="1:34" x14ac:dyDescent="0.25">
      <c r="A31" s="4" t="s">
        <v>186</v>
      </c>
      <c r="B31" s="4" t="s">
        <v>187</v>
      </c>
      <c r="C31">
        <v>29.4</v>
      </c>
      <c r="D31">
        <v>28.9</v>
      </c>
      <c r="E31">
        <v>30</v>
      </c>
      <c r="F31">
        <v>30</v>
      </c>
      <c r="G31">
        <v>31.1</v>
      </c>
      <c r="H31">
        <v>30.6</v>
      </c>
      <c r="I31">
        <v>32.200000000000003</v>
      </c>
      <c r="J31">
        <v>32.799999999999997</v>
      </c>
      <c r="K31">
        <v>33.299999999999997</v>
      </c>
      <c r="L31">
        <v>33.299999999999997</v>
      </c>
      <c r="M31">
        <v>30.6</v>
      </c>
      <c r="N31">
        <v>30.6</v>
      </c>
    </row>
    <row r="32" spans="1:34" x14ac:dyDescent="0.25">
      <c r="A32" s="4" t="s">
        <v>186</v>
      </c>
      <c r="B32" s="4" t="s">
        <v>188</v>
      </c>
      <c r="C32" s="65" t="s">
        <v>350</v>
      </c>
      <c r="D32" s="64">
        <v>0.7993055555555556</v>
      </c>
      <c r="E32" s="64">
        <v>1.2173611111111111</v>
      </c>
      <c r="F32" s="64" t="s">
        <v>314</v>
      </c>
      <c r="G32" s="65">
        <v>0.55138888888888882</v>
      </c>
      <c r="H32" s="65">
        <v>1.0930555555555557</v>
      </c>
      <c r="I32" s="65" t="s">
        <v>317</v>
      </c>
      <c r="J32" s="65">
        <v>0.4680555555555555</v>
      </c>
      <c r="K32" s="4" t="s">
        <v>327</v>
      </c>
      <c r="L32" s="65" t="s">
        <v>351</v>
      </c>
      <c r="M32" s="65" t="s">
        <v>350</v>
      </c>
      <c r="N32" s="65">
        <v>0.55138888888888882</v>
      </c>
    </row>
    <row r="34" spans="1:30" x14ac:dyDescent="0.25">
      <c r="A34" s="4" t="s">
        <v>186</v>
      </c>
      <c r="B34" s="4" t="s">
        <v>189</v>
      </c>
      <c r="C34">
        <v>17.2</v>
      </c>
      <c r="D34">
        <v>13.3</v>
      </c>
      <c r="E34">
        <v>15</v>
      </c>
      <c r="F34">
        <v>17.8</v>
      </c>
      <c r="G34">
        <v>18.899999999999999</v>
      </c>
      <c r="H34">
        <v>21.1</v>
      </c>
      <c r="I34">
        <v>22.2</v>
      </c>
      <c r="J34">
        <v>21.1</v>
      </c>
      <c r="K34">
        <v>22.2</v>
      </c>
      <c r="L34">
        <v>19.399999999999999</v>
      </c>
      <c r="M34">
        <v>16.100000000000001</v>
      </c>
      <c r="N34">
        <v>16.7</v>
      </c>
    </row>
    <row r="35" spans="1:30" x14ac:dyDescent="0.25">
      <c r="A35" s="4" t="s">
        <v>186</v>
      </c>
      <c r="B35" s="4" t="s">
        <v>188</v>
      </c>
      <c r="C35" s="65" t="s">
        <v>352</v>
      </c>
      <c r="D35" s="65">
        <v>0.50486111111111109</v>
      </c>
      <c r="E35" s="65" t="s">
        <v>313</v>
      </c>
      <c r="F35" s="64">
        <v>0.91875000000000007</v>
      </c>
      <c r="G35" s="65">
        <v>0.96250000000000002</v>
      </c>
      <c r="H35" s="65" t="s">
        <v>190</v>
      </c>
      <c r="I35" s="64" t="s">
        <v>216</v>
      </c>
      <c r="J35" s="64">
        <v>0.75416666666666676</v>
      </c>
      <c r="K35" s="64">
        <v>0.79513888888888884</v>
      </c>
      <c r="L35" s="64">
        <v>0.79583333333333339</v>
      </c>
      <c r="M35" s="64">
        <v>1.1298611111111112</v>
      </c>
      <c r="N35" s="64">
        <v>1.0847222222222224</v>
      </c>
    </row>
    <row r="37" spans="1:30" x14ac:dyDescent="0.25">
      <c r="A37" s="4" t="s">
        <v>186</v>
      </c>
      <c r="B37" s="4" t="s">
        <v>191</v>
      </c>
      <c r="C37">
        <v>22.5</v>
      </c>
      <c r="D37">
        <v>22.8</v>
      </c>
      <c r="E37">
        <v>23.2</v>
      </c>
      <c r="F37">
        <v>23.8</v>
      </c>
      <c r="G37">
        <v>25.2</v>
      </c>
      <c r="H37">
        <v>25.9</v>
      </c>
      <c r="I37">
        <v>26.9</v>
      </c>
      <c r="J37">
        <v>27.1</v>
      </c>
      <c r="K37">
        <v>26.9</v>
      </c>
      <c r="L37">
        <v>26.2</v>
      </c>
      <c r="M37">
        <v>24.8</v>
      </c>
      <c r="N37">
        <v>23.7</v>
      </c>
    </row>
    <row r="39" spans="1:30" x14ac:dyDescent="0.25">
      <c r="A39" s="4" t="s">
        <v>353</v>
      </c>
    </row>
    <row r="40" spans="1:30" x14ac:dyDescent="0.25">
      <c r="A40" s="4" t="s">
        <v>354</v>
      </c>
    </row>
    <row r="42" spans="1:30" x14ac:dyDescent="0.25">
      <c r="A42" s="4" t="s">
        <v>192</v>
      </c>
      <c r="Q42" s="4"/>
      <c r="R42" s="4"/>
      <c r="S42" s="4"/>
      <c r="T42" s="4"/>
      <c r="U42" s="4"/>
      <c r="V42" s="4"/>
      <c r="W42" s="4"/>
      <c r="X42" s="4"/>
      <c r="Y42" s="4"/>
      <c r="Z42" s="4"/>
      <c r="AA42" s="4"/>
      <c r="AB42" s="4"/>
      <c r="AC42" s="4"/>
      <c r="AD42" s="4"/>
    </row>
    <row r="43" spans="1:30" x14ac:dyDescent="0.25">
      <c r="A43" s="4" t="s">
        <v>186</v>
      </c>
      <c r="B43" s="4" t="s">
        <v>0</v>
      </c>
      <c r="C43" s="4" t="s">
        <v>1</v>
      </c>
      <c r="D43" s="4" t="s">
        <v>2</v>
      </c>
      <c r="E43" s="4" t="s">
        <v>3</v>
      </c>
      <c r="F43" s="4" t="s">
        <v>4</v>
      </c>
      <c r="G43" s="4" t="s">
        <v>5</v>
      </c>
      <c r="H43" s="4" t="s">
        <v>6</v>
      </c>
      <c r="I43" s="4" t="s">
        <v>7</v>
      </c>
      <c r="J43" s="4" t="s">
        <v>8</v>
      </c>
      <c r="K43" s="4" t="s">
        <v>9</v>
      </c>
      <c r="L43" s="4" t="s">
        <v>10</v>
      </c>
      <c r="M43" s="4" t="s">
        <v>11</v>
      </c>
      <c r="N43" s="4" t="s">
        <v>12</v>
      </c>
      <c r="Q43" s="4"/>
      <c r="R43" s="4"/>
      <c r="S43" s="4" t="s">
        <v>1</v>
      </c>
      <c r="T43" s="4" t="s">
        <v>2</v>
      </c>
      <c r="U43" s="4" t="s">
        <v>3</v>
      </c>
      <c r="V43" s="4" t="s">
        <v>4</v>
      </c>
      <c r="W43" s="4" t="s">
        <v>5</v>
      </c>
      <c r="X43" s="4" t="s">
        <v>6</v>
      </c>
      <c r="Y43" s="4" t="s">
        <v>7</v>
      </c>
      <c r="Z43" s="4" t="s">
        <v>8</v>
      </c>
      <c r="AA43" s="4" t="s">
        <v>9</v>
      </c>
      <c r="AB43" s="4" t="s">
        <v>10</v>
      </c>
      <c r="AC43" s="4" t="s">
        <v>11</v>
      </c>
      <c r="AD43" s="4" t="s">
        <v>12</v>
      </c>
    </row>
    <row r="44" spans="1:30" x14ac:dyDescent="0.25">
      <c r="A44" s="4" t="s">
        <v>186</v>
      </c>
      <c r="B44" s="4" t="s">
        <v>13</v>
      </c>
      <c r="C44">
        <v>20.7</v>
      </c>
      <c r="D44">
        <v>20.6</v>
      </c>
      <c r="E44">
        <v>20.8</v>
      </c>
      <c r="F44">
        <v>21.7</v>
      </c>
      <c r="G44">
        <v>22.8</v>
      </c>
      <c r="H44">
        <v>24</v>
      </c>
      <c r="I44">
        <v>24.8</v>
      </c>
      <c r="J44">
        <v>24.8</v>
      </c>
      <c r="K44">
        <v>25.1</v>
      </c>
      <c r="L44">
        <v>23.7</v>
      </c>
      <c r="M44">
        <v>22.8</v>
      </c>
      <c r="N44">
        <v>22</v>
      </c>
      <c r="Q44" s="4"/>
      <c r="R44" s="4" t="s">
        <v>13</v>
      </c>
      <c r="S44" s="4">
        <v>69.259999999999991</v>
      </c>
      <c r="T44" s="4">
        <v>69.080000000000013</v>
      </c>
      <c r="U44" s="4">
        <v>69.44</v>
      </c>
      <c r="V44" s="4">
        <v>71.06</v>
      </c>
      <c r="W44" s="4">
        <v>73.039999999999992</v>
      </c>
      <c r="X44" s="4">
        <v>75.2</v>
      </c>
      <c r="Y44" s="4">
        <v>76.64</v>
      </c>
      <c r="Z44" s="4">
        <v>76.64</v>
      </c>
      <c r="AA44" s="4">
        <v>77.180000000000007</v>
      </c>
      <c r="AB44" s="4">
        <v>74.66</v>
      </c>
      <c r="AC44" s="4">
        <v>73.039999999999992</v>
      </c>
      <c r="AD44" s="4">
        <v>71.599999999999994</v>
      </c>
    </row>
    <row r="45" spans="1:30" x14ac:dyDescent="0.25">
      <c r="A45" s="4" t="s">
        <v>186</v>
      </c>
      <c r="B45" s="4" t="s">
        <v>14</v>
      </c>
      <c r="C45">
        <v>20.399999999999999</v>
      </c>
      <c r="D45">
        <v>20.6</v>
      </c>
      <c r="E45">
        <v>20.399999999999999</v>
      </c>
      <c r="F45">
        <v>21.6</v>
      </c>
      <c r="G45">
        <v>22.5</v>
      </c>
      <c r="H45">
        <v>23.9</v>
      </c>
      <c r="I45">
        <v>24.7</v>
      </c>
      <c r="J45">
        <v>24.6</v>
      </c>
      <c r="K45">
        <v>25</v>
      </c>
      <c r="L45">
        <v>23.3</v>
      </c>
      <c r="M45">
        <v>22.6</v>
      </c>
      <c r="N45">
        <v>21.5</v>
      </c>
      <c r="Q45" s="4"/>
      <c r="R45" s="4" t="s">
        <v>14</v>
      </c>
      <c r="S45" s="4">
        <v>68.72</v>
      </c>
      <c r="T45" s="4">
        <v>69.080000000000013</v>
      </c>
      <c r="U45" s="4">
        <v>68.72</v>
      </c>
      <c r="V45" s="4">
        <v>70.88</v>
      </c>
      <c r="W45" s="4">
        <v>72.5</v>
      </c>
      <c r="X45" s="4">
        <v>75.02</v>
      </c>
      <c r="Y45" s="4">
        <v>76.460000000000008</v>
      </c>
      <c r="Z45" s="4">
        <v>76.28</v>
      </c>
      <c r="AA45" s="4">
        <v>77</v>
      </c>
      <c r="AB45" s="4">
        <v>73.94</v>
      </c>
      <c r="AC45" s="4">
        <v>72.680000000000007</v>
      </c>
      <c r="AD45" s="4">
        <v>70.7</v>
      </c>
    </row>
    <row r="46" spans="1:30" x14ac:dyDescent="0.25">
      <c r="A46" s="4" t="s">
        <v>186</v>
      </c>
      <c r="B46" s="4" t="s">
        <v>15</v>
      </c>
      <c r="C46">
        <v>20.2</v>
      </c>
      <c r="D46">
        <v>20.3</v>
      </c>
      <c r="E46">
        <v>20.3</v>
      </c>
      <c r="F46">
        <v>21.2</v>
      </c>
      <c r="G46">
        <v>22.3</v>
      </c>
      <c r="H46">
        <v>23.7</v>
      </c>
      <c r="I46">
        <v>24.6</v>
      </c>
      <c r="J46">
        <v>24.4</v>
      </c>
      <c r="K46">
        <v>24.8</v>
      </c>
      <c r="L46">
        <v>23.1</v>
      </c>
      <c r="M46">
        <v>22.5</v>
      </c>
      <c r="N46">
        <v>21.4</v>
      </c>
      <c r="Q46" s="4"/>
      <c r="R46" s="4" t="s">
        <v>15</v>
      </c>
      <c r="S46" s="4">
        <v>68.36</v>
      </c>
      <c r="T46" s="4">
        <v>68.539999999999992</v>
      </c>
      <c r="U46" s="4">
        <v>68.539999999999992</v>
      </c>
      <c r="V46" s="4">
        <v>70.16</v>
      </c>
      <c r="W46" s="4">
        <v>72.14</v>
      </c>
      <c r="X46" s="4">
        <v>74.66</v>
      </c>
      <c r="Y46" s="4">
        <v>76.28</v>
      </c>
      <c r="Z46" s="4">
        <v>75.92</v>
      </c>
      <c r="AA46" s="4">
        <v>76.64</v>
      </c>
      <c r="AB46" s="4">
        <v>73.580000000000013</v>
      </c>
      <c r="AC46" s="4">
        <v>72.5</v>
      </c>
      <c r="AD46" s="4">
        <v>70.52</v>
      </c>
    </row>
    <row r="47" spans="1:30" x14ac:dyDescent="0.25">
      <c r="A47" s="4" t="s">
        <v>186</v>
      </c>
      <c r="B47" s="4" t="s">
        <v>16</v>
      </c>
      <c r="C47">
        <v>20.100000000000001</v>
      </c>
      <c r="D47">
        <v>20</v>
      </c>
      <c r="E47">
        <v>19.899999999999999</v>
      </c>
      <c r="F47">
        <v>21</v>
      </c>
      <c r="G47">
        <v>22</v>
      </c>
      <c r="H47">
        <v>23.5</v>
      </c>
      <c r="I47">
        <v>24.4</v>
      </c>
      <c r="J47">
        <v>24.1</v>
      </c>
      <c r="K47">
        <v>24.6</v>
      </c>
      <c r="L47">
        <v>22.9</v>
      </c>
      <c r="M47">
        <v>22.2</v>
      </c>
      <c r="N47">
        <v>21.3</v>
      </c>
      <c r="Q47" s="4"/>
      <c r="R47" s="4" t="s">
        <v>16</v>
      </c>
      <c r="S47" s="4">
        <v>68.180000000000007</v>
      </c>
      <c r="T47" s="4">
        <v>68</v>
      </c>
      <c r="U47" s="4">
        <v>67.819999999999993</v>
      </c>
      <c r="V47" s="4">
        <v>69.800000000000011</v>
      </c>
      <c r="W47" s="4">
        <v>71.599999999999994</v>
      </c>
      <c r="X47" s="4">
        <v>74.300000000000011</v>
      </c>
      <c r="Y47" s="4">
        <v>75.92</v>
      </c>
      <c r="Z47" s="4">
        <v>75.38</v>
      </c>
      <c r="AA47" s="4">
        <v>76.28</v>
      </c>
      <c r="AB47" s="4">
        <v>73.22</v>
      </c>
      <c r="AC47" s="4">
        <v>71.960000000000008</v>
      </c>
      <c r="AD47" s="4">
        <v>70.34</v>
      </c>
    </row>
    <row r="48" spans="1:30" x14ac:dyDescent="0.25">
      <c r="A48" s="4" t="s">
        <v>186</v>
      </c>
      <c r="B48" s="4" t="s">
        <v>17</v>
      </c>
      <c r="C48">
        <v>19.899999999999999</v>
      </c>
      <c r="D48">
        <v>19.8</v>
      </c>
      <c r="E48">
        <v>19.899999999999999</v>
      </c>
      <c r="F48">
        <v>21</v>
      </c>
      <c r="G48">
        <v>22</v>
      </c>
      <c r="H48">
        <v>23.3</v>
      </c>
      <c r="I48">
        <v>24.4</v>
      </c>
      <c r="J48">
        <v>24</v>
      </c>
      <c r="K48">
        <v>24.4</v>
      </c>
      <c r="L48">
        <v>22.6</v>
      </c>
      <c r="M48">
        <v>22.2</v>
      </c>
      <c r="N48">
        <v>21.2</v>
      </c>
      <c r="Q48" s="4"/>
      <c r="R48" s="4" t="s">
        <v>17</v>
      </c>
      <c r="S48" s="4">
        <v>67.819999999999993</v>
      </c>
      <c r="T48" s="4">
        <v>67.64</v>
      </c>
      <c r="U48" s="4">
        <v>67.819999999999993</v>
      </c>
      <c r="V48" s="4">
        <v>69.800000000000011</v>
      </c>
      <c r="W48" s="4">
        <v>71.599999999999994</v>
      </c>
      <c r="X48" s="4">
        <v>73.94</v>
      </c>
      <c r="Y48" s="4">
        <v>75.92</v>
      </c>
      <c r="Z48" s="4">
        <v>75.2</v>
      </c>
      <c r="AA48" s="4">
        <v>75.92</v>
      </c>
      <c r="AB48" s="4">
        <v>72.680000000000007</v>
      </c>
      <c r="AC48" s="4">
        <v>71.960000000000008</v>
      </c>
      <c r="AD48" s="4">
        <v>70.16</v>
      </c>
    </row>
    <row r="49" spans="1:30" x14ac:dyDescent="0.25">
      <c r="A49" s="4" t="s">
        <v>186</v>
      </c>
      <c r="B49" s="4" t="s">
        <v>18</v>
      </c>
      <c r="C49">
        <v>19.8</v>
      </c>
      <c r="D49">
        <v>19.7</v>
      </c>
      <c r="E49">
        <v>19.899999999999999</v>
      </c>
      <c r="F49">
        <v>20.9</v>
      </c>
      <c r="G49">
        <v>22</v>
      </c>
      <c r="H49">
        <v>24.1</v>
      </c>
      <c r="I49">
        <v>24.4</v>
      </c>
      <c r="J49">
        <v>23.9</v>
      </c>
      <c r="K49">
        <v>24.6</v>
      </c>
      <c r="L49">
        <v>22.4</v>
      </c>
      <c r="M49">
        <v>22</v>
      </c>
      <c r="N49">
        <v>21.5</v>
      </c>
      <c r="Q49" s="4"/>
      <c r="R49" s="4" t="s">
        <v>18</v>
      </c>
      <c r="S49" s="4">
        <v>67.64</v>
      </c>
      <c r="T49" s="4">
        <v>67.460000000000008</v>
      </c>
      <c r="U49" s="4">
        <v>67.819999999999993</v>
      </c>
      <c r="V49" s="4">
        <v>69.62</v>
      </c>
      <c r="W49" s="4">
        <v>71.599999999999994</v>
      </c>
      <c r="X49" s="4">
        <v>75.38</v>
      </c>
      <c r="Y49" s="4">
        <v>75.92</v>
      </c>
      <c r="Z49" s="4">
        <v>75.02</v>
      </c>
      <c r="AA49" s="4">
        <v>76.28</v>
      </c>
      <c r="AB49" s="4">
        <v>72.319999999999993</v>
      </c>
      <c r="AC49" s="4">
        <v>71.599999999999994</v>
      </c>
      <c r="AD49" s="4">
        <v>70.7</v>
      </c>
    </row>
    <row r="50" spans="1:30" x14ac:dyDescent="0.25">
      <c r="A50" s="4" t="s">
        <v>186</v>
      </c>
      <c r="B50" s="4" t="s">
        <v>19</v>
      </c>
      <c r="C50">
        <v>19.600000000000001</v>
      </c>
      <c r="D50">
        <v>19.600000000000001</v>
      </c>
      <c r="E50">
        <v>20</v>
      </c>
      <c r="F50">
        <v>21.4</v>
      </c>
      <c r="G50">
        <v>23.3</v>
      </c>
      <c r="H50">
        <v>24.8</v>
      </c>
      <c r="I50">
        <v>25.1</v>
      </c>
      <c r="J50">
        <v>24.4</v>
      </c>
      <c r="K50">
        <v>24.8</v>
      </c>
      <c r="L50">
        <v>22.7</v>
      </c>
      <c r="M50">
        <v>22.3</v>
      </c>
      <c r="N50">
        <v>21.8</v>
      </c>
      <c r="Q50" s="4"/>
      <c r="R50" s="4" t="s">
        <v>19</v>
      </c>
      <c r="S50" s="4">
        <v>67.28</v>
      </c>
      <c r="T50" s="4">
        <v>67.28</v>
      </c>
      <c r="U50" s="4">
        <v>68</v>
      </c>
      <c r="V50" s="4">
        <v>70.52</v>
      </c>
      <c r="W50" s="4">
        <v>73.94</v>
      </c>
      <c r="X50" s="4">
        <v>76.64</v>
      </c>
      <c r="Y50" s="4">
        <v>77.180000000000007</v>
      </c>
      <c r="Z50" s="4">
        <v>75.92</v>
      </c>
      <c r="AA50" s="4">
        <v>76.64</v>
      </c>
      <c r="AB50" s="4">
        <v>72.86</v>
      </c>
      <c r="AC50" s="4">
        <v>72.14</v>
      </c>
      <c r="AD50" s="4">
        <v>71.240000000000009</v>
      </c>
    </row>
    <row r="51" spans="1:30" x14ac:dyDescent="0.25">
      <c r="A51" s="4" t="s">
        <v>186</v>
      </c>
      <c r="B51" s="4" t="s">
        <v>20</v>
      </c>
      <c r="C51">
        <v>20.6</v>
      </c>
      <c r="D51">
        <v>21.1</v>
      </c>
      <c r="E51">
        <v>22</v>
      </c>
      <c r="F51">
        <v>23.3</v>
      </c>
      <c r="G51">
        <v>25.3</v>
      </c>
      <c r="H51">
        <v>25.5</v>
      </c>
      <c r="I51">
        <v>26.6</v>
      </c>
      <c r="J51">
        <v>26.5</v>
      </c>
      <c r="K51">
        <v>26.2</v>
      </c>
      <c r="L51">
        <v>26</v>
      </c>
      <c r="M51">
        <v>24.1</v>
      </c>
      <c r="N51">
        <v>22.2</v>
      </c>
      <c r="Q51" s="4"/>
      <c r="R51" s="4" t="s">
        <v>20</v>
      </c>
      <c r="S51" s="4">
        <v>69.080000000000013</v>
      </c>
      <c r="T51" s="4">
        <v>69.98</v>
      </c>
      <c r="U51" s="4">
        <v>71.599999999999994</v>
      </c>
      <c r="V51" s="4">
        <v>73.94</v>
      </c>
      <c r="W51" s="4">
        <v>77.539999999999992</v>
      </c>
      <c r="X51" s="4">
        <v>77.900000000000006</v>
      </c>
      <c r="Y51" s="4">
        <v>79.88</v>
      </c>
      <c r="Z51" s="4">
        <v>79.7</v>
      </c>
      <c r="AA51" s="4">
        <v>79.16</v>
      </c>
      <c r="AB51" s="4">
        <v>78.800000000000011</v>
      </c>
      <c r="AC51" s="4">
        <v>75.38</v>
      </c>
      <c r="AD51" s="4">
        <v>71.960000000000008</v>
      </c>
    </row>
    <row r="52" spans="1:30" x14ac:dyDescent="0.25">
      <c r="A52" s="4" t="s">
        <v>186</v>
      </c>
      <c r="B52" s="4" t="s">
        <v>21</v>
      </c>
      <c r="C52">
        <v>23</v>
      </c>
      <c r="D52">
        <v>23.6</v>
      </c>
      <c r="E52">
        <v>24.3</v>
      </c>
      <c r="F52">
        <v>24.5</v>
      </c>
      <c r="G52">
        <v>26.8</v>
      </c>
      <c r="H52">
        <v>26.5</v>
      </c>
      <c r="I52">
        <v>28.1</v>
      </c>
      <c r="J52">
        <v>28.3</v>
      </c>
      <c r="K52">
        <v>27.5</v>
      </c>
      <c r="L52">
        <v>28.1</v>
      </c>
      <c r="M52">
        <v>25.6</v>
      </c>
      <c r="N52">
        <v>23.5</v>
      </c>
      <c r="Q52" s="4"/>
      <c r="R52" s="4" t="s">
        <v>21</v>
      </c>
      <c r="S52" s="4">
        <v>73.400000000000006</v>
      </c>
      <c r="T52" s="4">
        <v>74.48</v>
      </c>
      <c r="U52" s="4">
        <v>75.740000000000009</v>
      </c>
      <c r="V52" s="4">
        <v>76.099999999999994</v>
      </c>
      <c r="W52" s="4">
        <v>80.240000000000009</v>
      </c>
      <c r="X52" s="4">
        <v>79.7</v>
      </c>
      <c r="Y52" s="4">
        <v>82.580000000000013</v>
      </c>
      <c r="Z52" s="4">
        <v>82.94</v>
      </c>
      <c r="AA52" s="4">
        <v>81.5</v>
      </c>
      <c r="AB52" s="4">
        <v>82.580000000000013</v>
      </c>
      <c r="AC52" s="4">
        <v>78.080000000000013</v>
      </c>
      <c r="AD52" s="4">
        <v>74.300000000000011</v>
      </c>
    </row>
    <row r="53" spans="1:30" x14ac:dyDescent="0.25">
      <c r="A53" s="4" t="s">
        <v>186</v>
      </c>
      <c r="B53" s="4" t="s">
        <v>22</v>
      </c>
      <c r="C53">
        <v>24.6</v>
      </c>
      <c r="D53">
        <v>25.1</v>
      </c>
      <c r="E53">
        <v>25.7</v>
      </c>
      <c r="F53">
        <v>25.8</v>
      </c>
      <c r="G53">
        <v>27.9</v>
      </c>
      <c r="H53">
        <v>27.5</v>
      </c>
      <c r="I53">
        <v>28.8</v>
      </c>
      <c r="J53">
        <v>29.5</v>
      </c>
      <c r="K53">
        <v>28.6</v>
      </c>
      <c r="L53">
        <v>29.4</v>
      </c>
      <c r="M53">
        <v>26.9</v>
      </c>
      <c r="N53">
        <v>24.9</v>
      </c>
      <c r="Q53" s="4"/>
      <c r="R53" s="4" t="s">
        <v>22</v>
      </c>
      <c r="S53" s="4">
        <v>76.28</v>
      </c>
      <c r="T53" s="4">
        <v>77.180000000000007</v>
      </c>
      <c r="U53" s="4">
        <v>78.259999999999991</v>
      </c>
      <c r="V53" s="4">
        <v>78.44</v>
      </c>
      <c r="W53" s="4">
        <v>82.22</v>
      </c>
      <c r="X53" s="4">
        <v>81.5</v>
      </c>
      <c r="Y53" s="4">
        <v>83.84</v>
      </c>
      <c r="Z53" s="4">
        <v>85.1</v>
      </c>
      <c r="AA53" s="4">
        <v>83.48</v>
      </c>
      <c r="AB53" s="4">
        <v>84.92</v>
      </c>
      <c r="AC53" s="4">
        <v>80.42</v>
      </c>
      <c r="AD53" s="4">
        <v>76.819999999999993</v>
      </c>
    </row>
    <row r="54" spans="1:30" x14ac:dyDescent="0.25">
      <c r="A54" s="4" t="s">
        <v>186</v>
      </c>
      <c r="B54" s="4" t="s">
        <v>23</v>
      </c>
      <c r="C54">
        <v>25.4</v>
      </c>
      <c r="D54">
        <v>25.9</v>
      </c>
      <c r="E54">
        <v>26.3</v>
      </c>
      <c r="F54">
        <v>26.6</v>
      </c>
      <c r="G54">
        <v>28.7</v>
      </c>
      <c r="H54">
        <v>28.5</v>
      </c>
      <c r="I54">
        <v>29.9</v>
      </c>
      <c r="J54">
        <v>30.3</v>
      </c>
      <c r="K54">
        <v>29.1</v>
      </c>
      <c r="L54">
        <v>30</v>
      </c>
      <c r="M54">
        <v>27.7</v>
      </c>
      <c r="N54">
        <v>26.2</v>
      </c>
      <c r="Q54" s="4"/>
      <c r="R54" s="4" t="s">
        <v>23</v>
      </c>
      <c r="S54" s="4">
        <v>77.72</v>
      </c>
      <c r="T54" s="4">
        <v>78.62</v>
      </c>
      <c r="U54" s="4">
        <v>79.34</v>
      </c>
      <c r="V54" s="4">
        <v>79.88</v>
      </c>
      <c r="W54" s="4">
        <v>83.66</v>
      </c>
      <c r="X54" s="4">
        <v>83.300000000000011</v>
      </c>
      <c r="Y54" s="4">
        <v>85.82</v>
      </c>
      <c r="Z54" s="4">
        <v>86.539999999999992</v>
      </c>
      <c r="AA54" s="4">
        <v>84.38</v>
      </c>
      <c r="AB54" s="4">
        <v>86</v>
      </c>
      <c r="AC54" s="4">
        <v>81.86</v>
      </c>
      <c r="AD54" s="4">
        <v>79.16</v>
      </c>
    </row>
    <row r="55" spans="1:30" x14ac:dyDescent="0.25">
      <c r="A55" s="4" t="s">
        <v>186</v>
      </c>
      <c r="B55" s="4" t="s">
        <v>24</v>
      </c>
      <c r="C55">
        <v>25.8</v>
      </c>
      <c r="D55">
        <v>25.9</v>
      </c>
      <c r="E55">
        <v>26.8</v>
      </c>
      <c r="F55">
        <v>27.2</v>
      </c>
      <c r="G55">
        <v>28.8</v>
      </c>
      <c r="H55">
        <v>28.6</v>
      </c>
      <c r="I55">
        <v>30.3</v>
      </c>
      <c r="J55">
        <v>30.9</v>
      </c>
      <c r="K55">
        <v>29.8</v>
      </c>
      <c r="L55">
        <v>30.6</v>
      </c>
      <c r="M55">
        <v>28.2</v>
      </c>
      <c r="N55">
        <v>26.4</v>
      </c>
      <c r="Q55" s="4"/>
      <c r="R55" s="4" t="s">
        <v>24</v>
      </c>
      <c r="S55" s="4">
        <v>78.44</v>
      </c>
      <c r="T55" s="4">
        <v>78.62</v>
      </c>
      <c r="U55" s="4">
        <v>80.240000000000009</v>
      </c>
      <c r="V55" s="4">
        <v>80.960000000000008</v>
      </c>
      <c r="W55" s="4">
        <v>83.84</v>
      </c>
      <c r="X55" s="4">
        <v>83.48</v>
      </c>
      <c r="Y55" s="4">
        <v>86.539999999999992</v>
      </c>
      <c r="Z55" s="4">
        <v>87.62</v>
      </c>
      <c r="AA55" s="4">
        <v>85.64</v>
      </c>
      <c r="AB55" s="4">
        <v>87.080000000000013</v>
      </c>
      <c r="AC55" s="4">
        <v>82.759999999999991</v>
      </c>
      <c r="AD55" s="4">
        <v>79.52</v>
      </c>
    </row>
    <row r="56" spans="1:30" x14ac:dyDescent="0.25">
      <c r="A56" s="4" t="s">
        <v>186</v>
      </c>
      <c r="B56" s="4" t="s">
        <v>25</v>
      </c>
      <c r="C56">
        <v>25.9</v>
      </c>
      <c r="D56">
        <v>26.5</v>
      </c>
      <c r="E56">
        <v>27</v>
      </c>
      <c r="F56">
        <v>27.4</v>
      </c>
      <c r="G56">
        <v>28.9</v>
      </c>
      <c r="H56">
        <v>28.8</v>
      </c>
      <c r="I56">
        <v>30.4</v>
      </c>
      <c r="J56">
        <v>31</v>
      </c>
      <c r="K56">
        <v>30</v>
      </c>
      <c r="L56">
        <v>30.4</v>
      </c>
      <c r="M56">
        <v>28.3</v>
      </c>
      <c r="N56">
        <v>26.7</v>
      </c>
      <c r="Q56" s="4"/>
      <c r="R56" s="4" t="s">
        <v>25</v>
      </c>
      <c r="S56" s="4">
        <v>78.62</v>
      </c>
      <c r="T56" s="4">
        <v>79.7</v>
      </c>
      <c r="U56" s="4">
        <v>80.599999999999994</v>
      </c>
      <c r="V56" s="4">
        <v>81.319999999999993</v>
      </c>
      <c r="W56" s="4">
        <v>84.02</v>
      </c>
      <c r="X56" s="4">
        <v>83.84</v>
      </c>
      <c r="Y56" s="4">
        <v>86.72</v>
      </c>
      <c r="Z56" s="4">
        <v>87.800000000000011</v>
      </c>
      <c r="AA56" s="4">
        <v>86</v>
      </c>
      <c r="AB56" s="4">
        <v>86.72</v>
      </c>
      <c r="AC56" s="4">
        <v>82.94</v>
      </c>
      <c r="AD56" s="4">
        <v>80.06</v>
      </c>
    </row>
    <row r="57" spans="1:30" x14ac:dyDescent="0.25">
      <c r="A57" s="4" t="s">
        <v>186</v>
      </c>
      <c r="B57" s="4" t="s">
        <v>26</v>
      </c>
      <c r="C57">
        <v>26.1</v>
      </c>
      <c r="D57">
        <v>26.4</v>
      </c>
      <c r="E57">
        <v>27.2</v>
      </c>
      <c r="F57">
        <v>27.2</v>
      </c>
      <c r="G57">
        <v>28.9</v>
      </c>
      <c r="H57">
        <v>28.9</v>
      </c>
      <c r="I57">
        <v>30.4</v>
      </c>
      <c r="J57">
        <v>31.1</v>
      </c>
      <c r="K57">
        <v>30</v>
      </c>
      <c r="L57">
        <v>30.3</v>
      </c>
      <c r="M57">
        <v>28.2</v>
      </c>
      <c r="N57">
        <v>26.9</v>
      </c>
      <c r="Q57" s="4"/>
      <c r="R57" s="4" t="s">
        <v>26</v>
      </c>
      <c r="S57" s="4">
        <v>78.98</v>
      </c>
      <c r="T57" s="4">
        <v>79.52</v>
      </c>
      <c r="U57" s="4">
        <v>80.960000000000008</v>
      </c>
      <c r="V57" s="4">
        <v>80.960000000000008</v>
      </c>
      <c r="W57" s="4">
        <v>84.02</v>
      </c>
      <c r="X57" s="4">
        <v>84.02</v>
      </c>
      <c r="Y57" s="4">
        <v>86.72</v>
      </c>
      <c r="Z57" s="4">
        <v>87.98</v>
      </c>
      <c r="AA57" s="4">
        <v>86</v>
      </c>
      <c r="AB57" s="4">
        <v>86.539999999999992</v>
      </c>
      <c r="AC57" s="4">
        <v>82.759999999999991</v>
      </c>
      <c r="AD57" s="4">
        <v>80.42</v>
      </c>
    </row>
    <row r="58" spans="1:30" x14ac:dyDescent="0.25">
      <c r="A58" s="4" t="s">
        <v>186</v>
      </c>
      <c r="B58" s="4" t="s">
        <v>27</v>
      </c>
      <c r="C58">
        <v>25.6</v>
      </c>
      <c r="D58">
        <v>26.4</v>
      </c>
      <c r="E58">
        <v>26.9</v>
      </c>
      <c r="F58">
        <v>27.2</v>
      </c>
      <c r="G58">
        <v>28.7</v>
      </c>
      <c r="H58">
        <v>28.5</v>
      </c>
      <c r="I58">
        <v>30.2</v>
      </c>
      <c r="J58">
        <v>31.1</v>
      </c>
      <c r="K58">
        <v>29.9</v>
      </c>
      <c r="L58">
        <v>30.1</v>
      </c>
      <c r="M58">
        <v>28</v>
      </c>
      <c r="N58">
        <v>26.4</v>
      </c>
      <c r="Q58" s="4"/>
      <c r="R58" s="4" t="s">
        <v>27</v>
      </c>
      <c r="S58" s="4">
        <v>78.080000000000013</v>
      </c>
      <c r="T58" s="4">
        <v>79.52</v>
      </c>
      <c r="U58" s="4">
        <v>80.42</v>
      </c>
      <c r="V58" s="4">
        <v>80.960000000000008</v>
      </c>
      <c r="W58" s="4">
        <v>83.66</v>
      </c>
      <c r="X58" s="4">
        <v>83.300000000000011</v>
      </c>
      <c r="Y58" s="4">
        <v>86.36</v>
      </c>
      <c r="Z58" s="4">
        <v>87.98</v>
      </c>
      <c r="AA58" s="4">
        <v>85.82</v>
      </c>
      <c r="AB58" s="4">
        <v>86.18</v>
      </c>
      <c r="AC58" s="4">
        <v>82.4</v>
      </c>
      <c r="AD58" s="4">
        <v>79.52</v>
      </c>
    </row>
    <row r="59" spans="1:30" x14ac:dyDescent="0.25">
      <c r="A59" s="4" t="s">
        <v>186</v>
      </c>
      <c r="B59" s="4" t="s">
        <v>28</v>
      </c>
      <c r="C59">
        <v>25.2</v>
      </c>
      <c r="D59">
        <v>25.9</v>
      </c>
      <c r="E59">
        <v>26.5</v>
      </c>
      <c r="F59">
        <v>26.9</v>
      </c>
      <c r="G59">
        <v>28.1</v>
      </c>
      <c r="H59">
        <v>28.1</v>
      </c>
      <c r="I59">
        <v>29.6</v>
      </c>
      <c r="J59">
        <v>30.2</v>
      </c>
      <c r="K59">
        <v>29.3</v>
      </c>
      <c r="L59">
        <v>29.4</v>
      </c>
      <c r="M59">
        <v>27.2</v>
      </c>
      <c r="N59">
        <v>26</v>
      </c>
      <c r="Q59" s="4"/>
      <c r="R59" s="4" t="s">
        <v>28</v>
      </c>
      <c r="S59" s="4">
        <v>77.36</v>
      </c>
      <c r="T59" s="4">
        <v>78.62</v>
      </c>
      <c r="U59" s="4">
        <v>79.7</v>
      </c>
      <c r="V59" s="4">
        <v>80.42</v>
      </c>
      <c r="W59" s="4">
        <v>82.580000000000013</v>
      </c>
      <c r="X59" s="4">
        <v>82.580000000000013</v>
      </c>
      <c r="Y59" s="4">
        <v>85.28</v>
      </c>
      <c r="Z59" s="4">
        <v>86.36</v>
      </c>
      <c r="AA59" s="4">
        <v>84.740000000000009</v>
      </c>
      <c r="AB59" s="4">
        <v>84.92</v>
      </c>
      <c r="AC59" s="4">
        <v>80.960000000000008</v>
      </c>
      <c r="AD59" s="4">
        <v>78.800000000000011</v>
      </c>
    </row>
    <row r="60" spans="1:30" x14ac:dyDescent="0.25">
      <c r="A60" s="4" t="s">
        <v>186</v>
      </c>
      <c r="B60" s="4" t="s">
        <v>29</v>
      </c>
      <c r="C60">
        <v>24.2</v>
      </c>
      <c r="D60">
        <v>25</v>
      </c>
      <c r="E60">
        <v>25.7</v>
      </c>
      <c r="F60">
        <v>25.8</v>
      </c>
      <c r="G60">
        <v>27.2</v>
      </c>
      <c r="H60">
        <v>27.7</v>
      </c>
      <c r="I60">
        <v>28.7</v>
      </c>
      <c r="J60">
        <v>29.3</v>
      </c>
      <c r="K60">
        <v>28.4</v>
      </c>
      <c r="L60">
        <v>28</v>
      </c>
      <c r="M60">
        <v>26.3</v>
      </c>
      <c r="N60">
        <v>25.5</v>
      </c>
      <c r="Q60" s="4"/>
      <c r="R60" s="4" t="s">
        <v>29</v>
      </c>
      <c r="S60" s="4">
        <v>75.56</v>
      </c>
      <c r="T60" s="4">
        <v>77</v>
      </c>
      <c r="U60" s="4">
        <v>78.259999999999991</v>
      </c>
      <c r="V60" s="4">
        <v>78.44</v>
      </c>
      <c r="W60" s="4">
        <v>80.960000000000008</v>
      </c>
      <c r="X60" s="4">
        <v>81.86</v>
      </c>
      <c r="Y60" s="4">
        <v>83.66</v>
      </c>
      <c r="Z60" s="4">
        <v>84.740000000000009</v>
      </c>
      <c r="AA60" s="4">
        <v>83.12</v>
      </c>
      <c r="AB60" s="4">
        <v>82.4</v>
      </c>
      <c r="AC60" s="4">
        <v>79.34</v>
      </c>
      <c r="AD60" s="4">
        <v>77.900000000000006</v>
      </c>
    </row>
    <row r="61" spans="1:30" x14ac:dyDescent="0.25">
      <c r="A61" s="4" t="s">
        <v>186</v>
      </c>
      <c r="B61" s="4" t="s">
        <v>30</v>
      </c>
      <c r="C61">
        <v>23.1</v>
      </c>
      <c r="D61">
        <v>23.9</v>
      </c>
      <c r="E61">
        <v>24.6</v>
      </c>
      <c r="F61">
        <v>24.6</v>
      </c>
      <c r="G61">
        <v>26.1</v>
      </c>
      <c r="H61">
        <v>26.7</v>
      </c>
      <c r="I61">
        <v>27.6</v>
      </c>
      <c r="J61">
        <v>28</v>
      </c>
      <c r="K61">
        <v>27.7</v>
      </c>
      <c r="L61">
        <v>26.7</v>
      </c>
      <c r="M61">
        <v>24.9</v>
      </c>
      <c r="N61">
        <v>24.8</v>
      </c>
      <c r="Q61" s="4"/>
      <c r="R61" s="4" t="s">
        <v>30</v>
      </c>
      <c r="S61" s="4">
        <v>73.580000000000013</v>
      </c>
      <c r="T61" s="4">
        <v>75.02</v>
      </c>
      <c r="U61" s="4">
        <v>76.28</v>
      </c>
      <c r="V61" s="4">
        <v>76.28</v>
      </c>
      <c r="W61" s="4">
        <v>78.98</v>
      </c>
      <c r="X61" s="4">
        <v>80.06</v>
      </c>
      <c r="Y61" s="4">
        <v>81.680000000000007</v>
      </c>
      <c r="Z61" s="4">
        <v>82.4</v>
      </c>
      <c r="AA61" s="4">
        <v>81.86</v>
      </c>
      <c r="AB61" s="4">
        <v>80.06</v>
      </c>
      <c r="AC61" s="4">
        <v>76.819999999999993</v>
      </c>
      <c r="AD61" s="4">
        <v>76.64</v>
      </c>
    </row>
    <row r="62" spans="1:30" x14ac:dyDescent="0.25">
      <c r="A62" s="4" t="s">
        <v>186</v>
      </c>
      <c r="B62" s="4" t="s">
        <v>31</v>
      </c>
      <c r="C62">
        <v>22.3</v>
      </c>
      <c r="D62">
        <v>22.8</v>
      </c>
      <c r="E62">
        <v>23.2</v>
      </c>
      <c r="F62">
        <v>23.1</v>
      </c>
      <c r="G62">
        <v>25</v>
      </c>
      <c r="H62">
        <v>25.7</v>
      </c>
      <c r="I62">
        <v>26.3</v>
      </c>
      <c r="J62">
        <v>26.5</v>
      </c>
      <c r="K62">
        <v>26.8</v>
      </c>
      <c r="L62">
        <v>25.8</v>
      </c>
      <c r="M62">
        <v>24.4</v>
      </c>
      <c r="N62">
        <v>24.1</v>
      </c>
      <c r="Q62" s="4"/>
      <c r="R62" s="4" t="s">
        <v>31</v>
      </c>
      <c r="S62" s="4">
        <v>72.14</v>
      </c>
      <c r="T62" s="4">
        <v>73.039999999999992</v>
      </c>
      <c r="U62" s="4">
        <v>73.759999999999991</v>
      </c>
      <c r="V62" s="4">
        <v>73.580000000000013</v>
      </c>
      <c r="W62" s="4">
        <v>77</v>
      </c>
      <c r="X62" s="4">
        <v>78.259999999999991</v>
      </c>
      <c r="Y62" s="4">
        <v>79.34</v>
      </c>
      <c r="Z62" s="4">
        <v>79.7</v>
      </c>
      <c r="AA62" s="4">
        <v>80.240000000000009</v>
      </c>
      <c r="AB62" s="4">
        <v>78.44</v>
      </c>
      <c r="AC62" s="4">
        <v>75.92</v>
      </c>
      <c r="AD62" s="4">
        <v>75.38</v>
      </c>
    </row>
    <row r="63" spans="1:30" x14ac:dyDescent="0.25">
      <c r="A63" s="4" t="s">
        <v>186</v>
      </c>
      <c r="B63" s="4" t="s">
        <v>32</v>
      </c>
      <c r="C63">
        <v>21.9</v>
      </c>
      <c r="D63">
        <v>22.4</v>
      </c>
      <c r="E63">
        <v>22.5</v>
      </c>
      <c r="F63">
        <v>22.6</v>
      </c>
      <c r="G63">
        <v>24.2</v>
      </c>
      <c r="H63">
        <v>24.7</v>
      </c>
      <c r="I63">
        <v>25.6</v>
      </c>
      <c r="J63">
        <v>25.8</v>
      </c>
      <c r="K63">
        <v>26</v>
      </c>
      <c r="L63">
        <v>25.5</v>
      </c>
      <c r="M63">
        <v>24.1</v>
      </c>
      <c r="N63">
        <v>23.4</v>
      </c>
      <c r="Q63" s="4"/>
      <c r="R63" s="4" t="s">
        <v>32</v>
      </c>
      <c r="S63" s="4">
        <v>71.42</v>
      </c>
      <c r="T63" s="4">
        <v>72.319999999999993</v>
      </c>
      <c r="U63" s="4">
        <v>72.5</v>
      </c>
      <c r="V63" s="4">
        <v>72.680000000000007</v>
      </c>
      <c r="W63" s="4">
        <v>75.56</v>
      </c>
      <c r="X63" s="4">
        <v>76.460000000000008</v>
      </c>
      <c r="Y63" s="4">
        <v>78.080000000000013</v>
      </c>
      <c r="Z63" s="4">
        <v>78.44</v>
      </c>
      <c r="AA63" s="4">
        <v>78.800000000000011</v>
      </c>
      <c r="AB63" s="4">
        <v>77.900000000000006</v>
      </c>
      <c r="AC63" s="4">
        <v>75.38</v>
      </c>
      <c r="AD63" s="4">
        <v>74.12</v>
      </c>
    </row>
    <row r="64" spans="1:30" x14ac:dyDescent="0.25">
      <c r="A64" s="4" t="s">
        <v>186</v>
      </c>
      <c r="B64" s="4" t="s">
        <v>33</v>
      </c>
      <c r="C64">
        <v>21.7</v>
      </c>
      <c r="D64">
        <v>21.9</v>
      </c>
      <c r="E64">
        <v>22.1</v>
      </c>
      <c r="F64">
        <v>22.6</v>
      </c>
      <c r="G64">
        <v>24</v>
      </c>
      <c r="H64">
        <v>24.6</v>
      </c>
      <c r="I64">
        <v>25.4</v>
      </c>
      <c r="J64">
        <v>25.5</v>
      </c>
      <c r="K64">
        <v>25.9</v>
      </c>
      <c r="L64">
        <v>25.2</v>
      </c>
      <c r="M64">
        <v>23.9</v>
      </c>
      <c r="N64">
        <v>23.1</v>
      </c>
      <c r="Q64" s="4"/>
      <c r="R64" s="4" t="s">
        <v>33</v>
      </c>
      <c r="S64" s="4">
        <v>71.06</v>
      </c>
      <c r="T64" s="4">
        <v>71.42</v>
      </c>
      <c r="U64" s="4">
        <v>71.78</v>
      </c>
      <c r="V64" s="4">
        <v>72.680000000000007</v>
      </c>
      <c r="W64" s="4">
        <v>75.2</v>
      </c>
      <c r="X64" s="4">
        <v>76.28</v>
      </c>
      <c r="Y64" s="4">
        <v>77.72</v>
      </c>
      <c r="Z64" s="4">
        <v>77.900000000000006</v>
      </c>
      <c r="AA64" s="4">
        <v>78.62</v>
      </c>
      <c r="AB64" s="4">
        <v>77.36</v>
      </c>
      <c r="AC64" s="4">
        <v>75.02</v>
      </c>
      <c r="AD64" s="4">
        <v>73.580000000000013</v>
      </c>
    </row>
    <row r="65" spans="1:30" x14ac:dyDescent="0.25">
      <c r="A65" s="4" t="s">
        <v>186</v>
      </c>
      <c r="B65" s="4" t="s">
        <v>34</v>
      </c>
      <c r="C65">
        <v>21.4</v>
      </c>
      <c r="D65">
        <v>21.6</v>
      </c>
      <c r="E65">
        <v>21.7</v>
      </c>
      <c r="F65">
        <v>22.4</v>
      </c>
      <c r="G65">
        <v>23.7</v>
      </c>
      <c r="H65">
        <v>24.5</v>
      </c>
      <c r="I65">
        <v>25.2</v>
      </c>
      <c r="J65">
        <v>25.3</v>
      </c>
      <c r="K65">
        <v>25.7</v>
      </c>
      <c r="L65">
        <v>24.7</v>
      </c>
      <c r="M65">
        <v>23.6</v>
      </c>
      <c r="N65">
        <v>22.9</v>
      </c>
      <c r="Q65" s="4"/>
      <c r="R65" s="4" t="s">
        <v>34</v>
      </c>
      <c r="S65" s="4">
        <v>70.52</v>
      </c>
      <c r="T65" s="4">
        <v>70.88</v>
      </c>
      <c r="U65" s="4">
        <v>71.06</v>
      </c>
      <c r="V65" s="4">
        <v>72.319999999999993</v>
      </c>
      <c r="W65" s="4">
        <v>74.66</v>
      </c>
      <c r="X65" s="4">
        <v>76.099999999999994</v>
      </c>
      <c r="Y65" s="4">
        <v>77.36</v>
      </c>
      <c r="Z65" s="4">
        <v>77.539999999999992</v>
      </c>
      <c r="AA65" s="4">
        <v>78.259999999999991</v>
      </c>
      <c r="AB65" s="4">
        <v>76.460000000000008</v>
      </c>
      <c r="AC65" s="4">
        <v>74.48</v>
      </c>
      <c r="AD65" s="4">
        <v>73.22</v>
      </c>
    </row>
    <row r="66" spans="1:30" x14ac:dyDescent="0.25">
      <c r="A66" s="4" t="s">
        <v>186</v>
      </c>
      <c r="B66" s="4" t="s">
        <v>35</v>
      </c>
      <c r="C66">
        <v>21</v>
      </c>
      <c r="D66">
        <v>21.3</v>
      </c>
      <c r="E66">
        <v>21.3</v>
      </c>
      <c r="F66">
        <v>22.1</v>
      </c>
      <c r="G66">
        <v>23.4</v>
      </c>
      <c r="H66">
        <v>24.4</v>
      </c>
      <c r="I66">
        <v>25.1</v>
      </c>
      <c r="J66">
        <v>25.1</v>
      </c>
      <c r="K66">
        <v>25.5</v>
      </c>
      <c r="L66">
        <v>24.3</v>
      </c>
      <c r="M66">
        <v>23.2</v>
      </c>
      <c r="N66">
        <v>22.6</v>
      </c>
      <c r="Q66" s="4"/>
      <c r="R66" s="4" t="s">
        <v>35</v>
      </c>
      <c r="S66" s="4">
        <v>69.800000000000011</v>
      </c>
      <c r="T66" s="4">
        <v>70.34</v>
      </c>
      <c r="U66" s="4">
        <v>70.34</v>
      </c>
      <c r="V66" s="4">
        <v>71.78</v>
      </c>
      <c r="W66" s="4">
        <v>74.12</v>
      </c>
      <c r="X66" s="4">
        <v>75.92</v>
      </c>
      <c r="Y66" s="4">
        <v>77.180000000000007</v>
      </c>
      <c r="Z66" s="4">
        <v>77.180000000000007</v>
      </c>
      <c r="AA66" s="4">
        <v>77.900000000000006</v>
      </c>
      <c r="AB66" s="4">
        <v>75.740000000000009</v>
      </c>
      <c r="AC66" s="4">
        <v>73.759999999999991</v>
      </c>
      <c r="AD66" s="4">
        <v>72.680000000000007</v>
      </c>
    </row>
    <row r="67" spans="1:30" x14ac:dyDescent="0.25">
      <c r="A67" s="4" t="s">
        <v>186</v>
      </c>
      <c r="B67" s="4" t="s">
        <v>36</v>
      </c>
      <c r="C67">
        <v>20.9</v>
      </c>
      <c r="D67">
        <v>20.9</v>
      </c>
      <c r="E67">
        <v>21</v>
      </c>
      <c r="F67">
        <v>21.9</v>
      </c>
      <c r="G67">
        <v>23.2</v>
      </c>
      <c r="H67">
        <v>24.2</v>
      </c>
      <c r="I67">
        <v>24.9</v>
      </c>
      <c r="J67">
        <v>25</v>
      </c>
      <c r="K67">
        <v>25.4</v>
      </c>
      <c r="L67">
        <v>24</v>
      </c>
      <c r="M67">
        <v>23</v>
      </c>
      <c r="N67">
        <v>22.3</v>
      </c>
      <c r="Q67" s="4"/>
      <c r="R67" s="4" t="s">
        <v>36</v>
      </c>
      <c r="S67" s="4">
        <v>69.62</v>
      </c>
      <c r="T67" s="4">
        <v>69.62</v>
      </c>
      <c r="U67" s="4">
        <v>69.800000000000011</v>
      </c>
      <c r="V67" s="4">
        <v>71.42</v>
      </c>
      <c r="W67" s="4">
        <v>73.759999999999991</v>
      </c>
      <c r="X67" s="4">
        <v>75.56</v>
      </c>
      <c r="Y67" s="4">
        <v>76.819999999999993</v>
      </c>
      <c r="Z67" s="4">
        <v>77</v>
      </c>
      <c r="AA67" s="4">
        <v>77.72</v>
      </c>
      <c r="AB67" s="4">
        <v>75.2</v>
      </c>
      <c r="AC67" s="4">
        <v>73.400000000000006</v>
      </c>
      <c r="AD67" s="4">
        <v>72.14</v>
      </c>
    </row>
    <row r="68" spans="1:30" x14ac:dyDescent="0.25">
      <c r="A68" s="4" t="s">
        <v>186</v>
      </c>
      <c r="B68" s="4" t="s">
        <v>193</v>
      </c>
      <c r="C68">
        <v>14</v>
      </c>
      <c r="D68">
        <v>13</v>
      </c>
      <c r="E68">
        <v>14</v>
      </c>
      <c r="F68">
        <v>13</v>
      </c>
      <c r="G68">
        <v>14</v>
      </c>
      <c r="H68">
        <v>14</v>
      </c>
      <c r="I68">
        <v>14</v>
      </c>
      <c r="J68">
        <v>14</v>
      </c>
      <c r="K68">
        <v>14</v>
      </c>
      <c r="L68">
        <v>12</v>
      </c>
      <c r="M68">
        <v>13</v>
      </c>
      <c r="N68">
        <v>14</v>
      </c>
    </row>
    <row r="69" spans="1:30" x14ac:dyDescent="0.25">
      <c r="A69" s="4" t="s">
        <v>186</v>
      </c>
      <c r="B69" s="4" t="s">
        <v>194</v>
      </c>
      <c r="C69">
        <v>7</v>
      </c>
      <c r="D69">
        <v>7</v>
      </c>
      <c r="E69">
        <v>6</v>
      </c>
      <c r="F69">
        <v>6</v>
      </c>
      <c r="G69">
        <v>6</v>
      </c>
      <c r="H69">
        <v>5</v>
      </c>
      <c r="I69">
        <v>4</v>
      </c>
      <c r="J69">
        <v>6</v>
      </c>
      <c r="K69">
        <v>5</v>
      </c>
      <c r="L69">
        <v>6</v>
      </c>
      <c r="M69">
        <v>6</v>
      </c>
      <c r="N69">
        <v>5</v>
      </c>
    </row>
    <row r="71" spans="1:30" x14ac:dyDescent="0.25">
      <c r="A71" s="4" t="s">
        <v>195</v>
      </c>
    </row>
    <row r="72" spans="1:30" x14ac:dyDescent="0.25">
      <c r="A72" s="4" t="s">
        <v>186</v>
      </c>
      <c r="B72" s="4" t="s">
        <v>196</v>
      </c>
      <c r="C72" s="4" t="s">
        <v>1</v>
      </c>
      <c r="D72" s="4" t="s">
        <v>2</v>
      </c>
      <c r="E72" s="4" t="s">
        <v>3</v>
      </c>
      <c r="F72" s="4" t="s">
        <v>4</v>
      </c>
      <c r="G72" s="4" t="s">
        <v>5</v>
      </c>
      <c r="H72" s="4" t="s">
        <v>6</v>
      </c>
      <c r="I72" s="4" t="s">
        <v>7</v>
      </c>
      <c r="J72" s="4" t="s">
        <v>8</v>
      </c>
      <c r="K72" s="4" t="s">
        <v>9</v>
      </c>
      <c r="L72" s="4" t="s">
        <v>10</v>
      </c>
      <c r="M72" s="4" t="s">
        <v>11</v>
      </c>
      <c r="N72" s="4" t="s">
        <v>12</v>
      </c>
    </row>
    <row r="73" spans="1:30" x14ac:dyDescent="0.25">
      <c r="A73" s="4" t="s">
        <v>186</v>
      </c>
      <c r="B73" s="4" t="s">
        <v>197</v>
      </c>
      <c r="C73" s="4" t="s">
        <v>198</v>
      </c>
      <c r="D73" s="4" t="s">
        <v>198</v>
      </c>
      <c r="E73" s="4" t="s">
        <v>198</v>
      </c>
      <c r="F73" s="4" t="s">
        <v>198</v>
      </c>
      <c r="G73" s="4" t="s">
        <v>198</v>
      </c>
      <c r="H73" s="4" t="s">
        <v>198</v>
      </c>
      <c r="I73" s="4">
        <v>1</v>
      </c>
      <c r="J73" s="4">
        <v>13</v>
      </c>
      <c r="K73" s="4">
        <v>3</v>
      </c>
      <c r="L73" s="4">
        <v>8</v>
      </c>
      <c r="M73" s="4" t="s">
        <v>198</v>
      </c>
      <c r="N73" s="4" t="s">
        <v>198</v>
      </c>
    </row>
    <row r="74" spans="1:30" x14ac:dyDescent="0.25">
      <c r="A74" s="4" t="s">
        <v>186</v>
      </c>
      <c r="B74" s="4" t="s">
        <v>199</v>
      </c>
      <c r="C74" s="4" t="s">
        <v>198</v>
      </c>
      <c r="D74" s="4" t="s">
        <v>198</v>
      </c>
      <c r="E74" s="4" t="s">
        <v>198</v>
      </c>
      <c r="F74" s="4" t="s">
        <v>198</v>
      </c>
      <c r="G74" s="4" t="s">
        <v>198</v>
      </c>
      <c r="H74" s="4" t="s">
        <v>198</v>
      </c>
      <c r="I74" s="4" t="s">
        <v>198</v>
      </c>
      <c r="J74" s="4" t="s">
        <v>198</v>
      </c>
      <c r="K74" s="4" t="s">
        <v>198</v>
      </c>
      <c r="L74" s="4" t="s">
        <v>198</v>
      </c>
      <c r="M74" s="4" t="s">
        <v>198</v>
      </c>
      <c r="N74" s="4" t="s">
        <v>198</v>
      </c>
    </row>
    <row r="75" spans="1:30" x14ac:dyDescent="0.25">
      <c r="A75" s="4" t="s">
        <v>186</v>
      </c>
      <c r="B75" s="4" t="s">
        <v>200</v>
      </c>
      <c r="C75" s="4" t="s">
        <v>198</v>
      </c>
      <c r="D75" s="4" t="s">
        <v>198</v>
      </c>
      <c r="E75" s="4" t="s">
        <v>198</v>
      </c>
      <c r="F75" s="4" t="s">
        <v>198</v>
      </c>
      <c r="G75" s="4" t="s">
        <v>198</v>
      </c>
      <c r="H75" s="4" t="s">
        <v>198</v>
      </c>
      <c r="I75" s="4" t="s">
        <v>198</v>
      </c>
      <c r="J75" s="4" t="s">
        <v>198</v>
      </c>
      <c r="K75" s="4" t="s">
        <v>198</v>
      </c>
      <c r="L75" s="4" t="s">
        <v>198</v>
      </c>
      <c r="M75" s="4" t="s">
        <v>198</v>
      </c>
      <c r="N75" s="4" t="s">
        <v>198</v>
      </c>
    </row>
    <row r="76" spans="1:30" x14ac:dyDescent="0.25">
      <c r="A76" s="4" t="s">
        <v>186</v>
      </c>
      <c r="B76" s="4" t="s">
        <v>201</v>
      </c>
      <c r="C76" s="4" t="s">
        <v>198</v>
      </c>
      <c r="D76" s="4" t="s">
        <v>198</v>
      </c>
      <c r="E76" s="4" t="s">
        <v>198</v>
      </c>
      <c r="F76" s="4" t="s">
        <v>198</v>
      </c>
      <c r="G76" s="4" t="s">
        <v>198</v>
      </c>
      <c r="H76" s="4" t="s">
        <v>198</v>
      </c>
      <c r="I76" s="4" t="s">
        <v>198</v>
      </c>
      <c r="J76" s="4" t="s">
        <v>198</v>
      </c>
      <c r="K76" s="4" t="s">
        <v>198</v>
      </c>
      <c r="L76" s="4" t="s">
        <v>198</v>
      </c>
      <c r="M76" s="4" t="s">
        <v>198</v>
      </c>
      <c r="N76" s="4" t="s">
        <v>198</v>
      </c>
    </row>
    <row r="78" spans="1:30" x14ac:dyDescent="0.25">
      <c r="A78" s="4" t="s">
        <v>202</v>
      </c>
    </row>
    <row r="79" spans="1:30" x14ac:dyDescent="0.25">
      <c r="A79" s="4" t="s">
        <v>186</v>
      </c>
      <c r="B79" s="4" t="s">
        <v>0</v>
      </c>
      <c r="C79" s="4" t="s">
        <v>1</v>
      </c>
      <c r="D79" s="4" t="s">
        <v>2</v>
      </c>
      <c r="E79" s="4" t="s">
        <v>3</v>
      </c>
      <c r="F79" s="4" t="s">
        <v>4</v>
      </c>
      <c r="G79" s="4" t="s">
        <v>5</v>
      </c>
      <c r="H79" s="4" t="s">
        <v>6</v>
      </c>
      <c r="I79" s="4" t="s">
        <v>7</v>
      </c>
      <c r="J79" s="4" t="s">
        <v>8</v>
      </c>
      <c r="K79" s="4" t="s">
        <v>9</v>
      </c>
      <c r="L79" s="4" t="s">
        <v>10</v>
      </c>
      <c r="M79" s="4" t="s">
        <v>11</v>
      </c>
      <c r="N79" s="4" t="s">
        <v>12</v>
      </c>
    </row>
    <row r="80" spans="1:30" x14ac:dyDescent="0.25">
      <c r="A80" s="4" t="s">
        <v>186</v>
      </c>
      <c r="B80" s="4" t="s">
        <v>187</v>
      </c>
      <c r="C80">
        <v>21.1</v>
      </c>
      <c r="D80">
        <v>23.3</v>
      </c>
      <c r="E80">
        <v>22.2</v>
      </c>
      <c r="F80">
        <v>21.1</v>
      </c>
      <c r="G80">
        <v>22.2</v>
      </c>
      <c r="H80">
        <v>20.8</v>
      </c>
      <c r="I80">
        <v>23.9</v>
      </c>
      <c r="J80">
        <v>23.3</v>
      </c>
      <c r="K80">
        <v>24.4</v>
      </c>
      <c r="L80">
        <v>22.8</v>
      </c>
      <c r="M80">
        <v>21.7</v>
      </c>
      <c r="N80">
        <v>22.8</v>
      </c>
    </row>
    <row r="81" spans="1:14" x14ac:dyDescent="0.25">
      <c r="A81" s="4" t="s">
        <v>186</v>
      </c>
      <c r="B81" s="4" t="s">
        <v>188</v>
      </c>
      <c r="C81" s="65" t="s">
        <v>318</v>
      </c>
      <c r="D81" s="64">
        <v>0.6791666666666667</v>
      </c>
      <c r="E81" s="65">
        <v>0.5493055555555556</v>
      </c>
      <c r="F81" s="65">
        <v>1.0166666666666666</v>
      </c>
      <c r="G81" s="65" t="s">
        <v>355</v>
      </c>
      <c r="H81" s="65" t="s">
        <v>356</v>
      </c>
      <c r="I81" s="65">
        <v>0.84305555555555556</v>
      </c>
      <c r="J81" s="65">
        <v>0.80208333333333337</v>
      </c>
      <c r="K81" s="65">
        <v>0.96875</v>
      </c>
      <c r="L81" s="64">
        <v>1.0090277777777776</v>
      </c>
      <c r="M81" s="65">
        <v>1.2208333333333334</v>
      </c>
      <c r="N81" s="65" t="s">
        <v>357</v>
      </c>
    </row>
    <row r="83" spans="1:14" x14ac:dyDescent="0.25">
      <c r="A83" s="4" t="s">
        <v>186</v>
      </c>
      <c r="B83" s="4" t="s">
        <v>189</v>
      </c>
      <c r="C83">
        <v>8.9</v>
      </c>
      <c r="D83">
        <v>10</v>
      </c>
      <c r="E83">
        <v>10.6</v>
      </c>
      <c r="F83">
        <v>10</v>
      </c>
      <c r="G83">
        <v>13.9</v>
      </c>
      <c r="H83">
        <v>15.6</v>
      </c>
      <c r="I83">
        <v>15.6</v>
      </c>
      <c r="J83">
        <v>16.100000000000001</v>
      </c>
      <c r="K83">
        <v>16.100000000000001</v>
      </c>
      <c r="L83">
        <v>16.100000000000001</v>
      </c>
      <c r="M83">
        <v>13.3</v>
      </c>
      <c r="N83">
        <v>10.6</v>
      </c>
    </row>
    <row r="84" spans="1:14" x14ac:dyDescent="0.25">
      <c r="A84" s="4" t="s">
        <v>186</v>
      </c>
      <c r="B84" s="4" t="s">
        <v>188</v>
      </c>
      <c r="C84" s="65">
        <v>0.83611111111111114</v>
      </c>
      <c r="D84" s="65" t="s">
        <v>326</v>
      </c>
      <c r="E84" s="64" t="s">
        <v>358</v>
      </c>
      <c r="F84" s="64" t="s">
        <v>209</v>
      </c>
      <c r="G84" s="65" t="s">
        <v>359</v>
      </c>
      <c r="H84" s="65" t="s">
        <v>360</v>
      </c>
      <c r="I84" s="64">
        <v>0.75694444444444453</v>
      </c>
      <c r="J84" s="65">
        <v>0.92708333333333337</v>
      </c>
      <c r="K84" s="65">
        <v>1.1340277777777776</v>
      </c>
      <c r="L84" s="65">
        <v>0.71875</v>
      </c>
      <c r="M84" s="64">
        <v>1.0583333333333333</v>
      </c>
      <c r="N84" s="64">
        <v>0.80555555555555547</v>
      </c>
    </row>
    <row r="86" spans="1:14" x14ac:dyDescent="0.25">
      <c r="A86" s="4" t="s">
        <v>186</v>
      </c>
      <c r="B86" s="4" t="s">
        <v>191</v>
      </c>
      <c r="C86">
        <v>15.9</v>
      </c>
      <c r="D86">
        <v>18.2</v>
      </c>
      <c r="E86">
        <v>16.8</v>
      </c>
      <c r="F86">
        <v>16.5</v>
      </c>
      <c r="G86">
        <v>18.2</v>
      </c>
      <c r="H86">
        <v>18.7</v>
      </c>
      <c r="I86">
        <v>19.5</v>
      </c>
      <c r="J86">
        <v>19.600000000000001</v>
      </c>
      <c r="K86">
        <v>20.399999999999999</v>
      </c>
      <c r="L86">
        <v>19.7</v>
      </c>
      <c r="M86">
        <v>18.600000000000001</v>
      </c>
      <c r="N86">
        <v>17.7</v>
      </c>
    </row>
    <row r="88" spans="1:14" x14ac:dyDescent="0.25">
      <c r="A88" s="4" t="s">
        <v>361</v>
      </c>
    </row>
    <row r="89" spans="1:14" x14ac:dyDescent="0.25">
      <c r="A89" s="4" t="s">
        <v>362</v>
      </c>
    </row>
    <row r="91" spans="1:14" x14ac:dyDescent="0.25">
      <c r="A91" s="4" t="s">
        <v>206</v>
      </c>
    </row>
    <row r="92" spans="1:14" x14ac:dyDescent="0.25">
      <c r="A92" s="4" t="s">
        <v>186</v>
      </c>
      <c r="B92" s="4" t="s">
        <v>0</v>
      </c>
      <c r="C92" s="4" t="s">
        <v>1</v>
      </c>
      <c r="D92" s="4" t="s">
        <v>2</v>
      </c>
      <c r="E92" s="4" t="s">
        <v>3</v>
      </c>
      <c r="F92" s="4" t="s">
        <v>4</v>
      </c>
      <c r="G92" s="4" t="s">
        <v>5</v>
      </c>
      <c r="H92" s="4" t="s">
        <v>6</v>
      </c>
      <c r="I92" s="4" t="s">
        <v>7</v>
      </c>
      <c r="J92" s="4" t="s">
        <v>8</v>
      </c>
      <c r="K92" s="4" t="s">
        <v>9</v>
      </c>
      <c r="L92" s="4" t="s">
        <v>10</v>
      </c>
      <c r="M92" s="4" t="s">
        <v>11</v>
      </c>
      <c r="N92" s="4" t="s">
        <v>12</v>
      </c>
    </row>
    <row r="93" spans="1:14" x14ac:dyDescent="0.25">
      <c r="A93" s="4" t="s">
        <v>186</v>
      </c>
      <c r="B93" s="4" t="s">
        <v>207</v>
      </c>
      <c r="C93">
        <v>97</v>
      </c>
      <c r="D93">
        <v>100</v>
      </c>
      <c r="E93">
        <v>97</v>
      </c>
      <c r="F93">
        <v>93</v>
      </c>
      <c r="G93">
        <v>94</v>
      </c>
      <c r="H93">
        <v>93</v>
      </c>
      <c r="I93">
        <v>97</v>
      </c>
      <c r="J93">
        <v>94</v>
      </c>
      <c r="K93">
        <v>94</v>
      </c>
      <c r="L93">
        <v>94</v>
      </c>
      <c r="M93">
        <v>93</v>
      </c>
      <c r="N93">
        <v>93</v>
      </c>
    </row>
    <row r="94" spans="1:14" x14ac:dyDescent="0.25">
      <c r="A94" s="4" t="s">
        <v>186</v>
      </c>
      <c r="B94" s="4" t="s">
        <v>208</v>
      </c>
      <c r="C94" s="4" t="s">
        <v>363</v>
      </c>
      <c r="D94" s="65">
        <v>0.58402777777777781</v>
      </c>
      <c r="E94" s="65" t="s">
        <v>364</v>
      </c>
      <c r="F94" s="65">
        <v>0.8881944444444444</v>
      </c>
      <c r="G94" s="65">
        <v>0.41875000000000001</v>
      </c>
      <c r="H94" s="65" t="s">
        <v>365</v>
      </c>
      <c r="I94" s="65">
        <v>0.84930555555555554</v>
      </c>
      <c r="J94" s="64">
        <v>1.0430555555555556</v>
      </c>
      <c r="K94" s="65">
        <v>0.4201388888888889</v>
      </c>
      <c r="L94" s="65" t="s">
        <v>366</v>
      </c>
      <c r="M94" s="65">
        <v>0.46111111111111108</v>
      </c>
      <c r="N94" s="65">
        <v>1.2118055555555556</v>
      </c>
    </row>
    <row r="96" spans="1:14" x14ac:dyDescent="0.25">
      <c r="A96" s="4" t="s">
        <v>186</v>
      </c>
      <c r="B96" s="4" t="s">
        <v>210</v>
      </c>
      <c r="C96">
        <v>36</v>
      </c>
      <c r="D96">
        <v>40</v>
      </c>
      <c r="E96">
        <v>40</v>
      </c>
      <c r="F96">
        <v>35</v>
      </c>
      <c r="G96">
        <v>35</v>
      </c>
      <c r="H96">
        <v>46</v>
      </c>
      <c r="I96">
        <v>41</v>
      </c>
      <c r="J96">
        <v>38</v>
      </c>
      <c r="K96">
        <v>44</v>
      </c>
      <c r="L96">
        <v>39</v>
      </c>
      <c r="M96">
        <v>44</v>
      </c>
      <c r="N96">
        <v>41</v>
      </c>
    </row>
    <row r="97" spans="1:14" x14ac:dyDescent="0.25">
      <c r="A97" s="4" t="s">
        <v>186</v>
      </c>
      <c r="B97" s="4" t="s">
        <v>208</v>
      </c>
      <c r="C97" s="64">
        <v>0.84236111111111101</v>
      </c>
      <c r="D97" s="65">
        <v>0.46736111111111112</v>
      </c>
      <c r="E97" s="64">
        <v>1.2173611111111111</v>
      </c>
      <c r="F97" s="65" t="s">
        <v>203</v>
      </c>
      <c r="G97" s="65">
        <v>1.007638888888889</v>
      </c>
      <c r="H97" s="65" t="s">
        <v>367</v>
      </c>
      <c r="I97" s="65" t="s">
        <v>351</v>
      </c>
      <c r="J97" s="65">
        <v>0.96805555555555556</v>
      </c>
      <c r="K97" s="65" t="s">
        <v>204</v>
      </c>
      <c r="L97" s="65" t="s">
        <v>367</v>
      </c>
      <c r="M97" s="65" t="s">
        <v>312</v>
      </c>
      <c r="N97" s="65">
        <v>0.92638888888888893</v>
      </c>
    </row>
    <row r="99" spans="1:14" x14ac:dyDescent="0.25">
      <c r="A99" s="4" t="s">
        <v>186</v>
      </c>
      <c r="B99" s="4" t="s">
        <v>191</v>
      </c>
      <c r="C99">
        <v>68</v>
      </c>
      <c r="D99">
        <v>77</v>
      </c>
      <c r="E99">
        <v>69</v>
      </c>
      <c r="F99">
        <v>65</v>
      </c>
      <c r="G99">
        <v>67</v>
      </c>
      <c r="H99">
        <v>65</v>
      </c>
      <c r="I99">
        <v>65</v>
      </c>
      <c r="J99">
        <v>65</v>
      </c>
      <c r="K99">
        <v>69</v>
      </c>
      <c r="L99">
        <v>69</v>
      </c>
      <c r="M99">
        <v>70</v>
      </c>
      <c r="N99">
        <v>70</v>
      </c>
    </row>
    <row r="101" spans="1:14" x14ac:dyDescent="0.25">
      <c r="A101" s="4" t="s">
        <v>211</v>
      </c>
    </row>
    <row r="102" spans="1:14" x14ac:dyDescent="0.25">
      <c r="A102" s="4" t="s">
        <v>186</v>
      </c>
      <c r="B102" s="4" t="s">
        <v>0</v>
      </c>
      <c r="C102" s="4" t="s">
        <v>1</v>
      </c>
      <c r="D102" s="4" t="s">
        <v>2</v>
      </c>
      <c r="E102" s="4" t="s">
        <v>3</v>
      </c>
      <c r="F102" s="4" t="s">
        <v>4</v>
      </c>
      <c r="G102" s="4" t="s">
        <v>5</v>
      </c>
      <c r="H102" s="4" t="s">
        <v>6</v>
      </c>
      <c r="I102" s="4" t="s">
        <v>7</v>
      </c>
      <c r="J102" s="4" t="s">
        <v>8</v>
      </c>
      <c r="K102" s="4" t="s">
        <v>9</v>
      </c>
      <c r="L102" s="4" t="s">
        <v>10</v>
      </c>
      <c r="M102" s="4" t="s">
        <v>11</v>
      </c>
      <c r="N102" s="4" t="s">
        <v>12</v>
      </c>
    </row>
    <row r="103" spans="1:14" x14ac:dyDescent="0.25">
      <c r="A103" s="4" t="s">
        <v>186</v>
      </c>
      <c r="B103" s="4" t="s">
        <v>13</v>
      </c>
      <c r="C103">
        <v>75</v>
      </c>
      <c r="D103">
        <v>85</v>
      </c>
      <c r="E103">
        <v>78</v>
      </c>
      <c r="F103">
        <v>73</v>
      </c>
      <c r="G103">
        <v>76</v>
      </c>
      <c r="H103">
        <v>71</v>
      </c>
      <c r="I103">
        <v>73</v>
      </c>
      <c r="J103">
        <v>74</v>
      </c>
      <c r="K103">
        <v>76</v>
      </c>
      <c r="L103">
        <v>79</v>
      </c>
      <c r="M103">
        <v>77</v>
      </c>
      <c r="N103">
        <v>76</v>
      </c>
    </row>
    <row r="104" spans="1:14" x14ac:dyDescent="0.25">
      <c r="A104" s="4" t="s">
        <v>186</v>
      </c>
      <c r="B104" s="4" t="s">
        <v>14</v>
      </c>
      <c r="C104">
        <v>75</v>
      </c>
      <c r="D104">
        <v>86</v>
      </c>
      <c r="E104">
        <v>79</v>
      </c>
      <c r="F104">
        <v>73</v>
      </c>
      <c r="G104">
        <v>78</v>
      </c>
      <c r="H104">
        <v>72</v>
      </c>
      <c r="I104">
        <v>73</v>
      </c>
      <c r="J104">
        <v>75</v>
      </c>
      <c r="K104">
        <v>76</v>
      </c>
      <c r="L104">
        <v>81</v>
      </c>
      <c r="M104">
        <v>78</v>
      </c>
      <c r="N104">
        <v>78</v>
      </c>
    </row>
    <row r="105" spans="1:14" x14ac:dyDescent="0.25">
      <c r="A105" s="4" t="s">
        <v>186</v>
      </c>
      <c r="B105" s="4" t="s">
        <v>15</v>
      </c>
      <c r="C105">
        <v>76</v>
      </c>
      <c r="D105">
        <v>86</v>
      </c>
      <c r="E105">
        <v>80</v>
      </c>
      <c r="F105">
        <v>75</v>
      </c>
      <c r="G105">
        <v>79</v>
      </c>
      <c r="H105">
        <v>73</v>
      </c>
      <c r="I105">
        <v>74</v>
      </c>
      <c r="J105">
        <v>76</v>
      </c>
      <c r="K105">
        <v>77</v>
      </c>
      <c r="L105">
        <v>81</v>
      </c>
      <c r="M105">
        <v>79</v>
      </c>
      <c r="N105">
        <v>78</v>
      </c>
    </row>
    <row r="106" spans="1:14" x14ac:dyDescent="0.25">
      <c r="A106" s="4" t="s">
        <v>186</v>
      </c>
      <c r="B106" s="4" t="s">
        <v>16</v>
      </c>
      <c r="C106">
        <v>77</v>
      </c>
      <c r="D106">
        <v>88</v>
      </c>
      <c r="E106">
        <v>81</v>
      </c>
      <c r="F106">
        <v>75</v>
      </c>
      <c r="G106">
        <v>79</v>
      </c>
      <c r="H106">
        <v>74</v>
      </c>
      <c r="I106">
        <v>75</v>
      </c>
      <c r="J106">
        <v>77</v>
      </c>
      <c r="K106">
        <v>78</v>
      </c>
      <c r="L106">
        <v>82</v>
      </c>
      <c r="M106">
        <v>80</v>
      </c>
      <c r="N106">
        <v>79</v>
      </c>
    </row>
    <row r="107" spans="1:14" x14ac:dyDescent="0.25">
      <c r="A107" s="4" t="s">
        <v>186</v>
      </c>
      <c r="B107" s="4" t="s">
        <v>17</v>
      </c>
      <c r="C107">
        <v>78</v>
      </c>
      <c r="D107">
        <v>89</v>
      </c>
      <c r="E107">
        <v>82</v>
      </c>
      <c r="F107">
        <v>75</v>
      </c>
      <c r="G107">
        <v>79</v>
      </c>
      <c r="H107">
        <v>76</v>
      </c>
      <c r="I107">
        <v>75</v>
      </c>
      <c r="J107">
        <v>77</v>
      </c>
      <c r="K107">
        <v>79</v>
      </c>
      <c r="L107">
        <v>82</v>
      </c>
      <c r="M107">
        <v>80</v>
      </c>
      <c r="N107">
        <v>80</v>
      </c>
    </row>
    <row r="108" spans="1:14" x14ac:dyDescent="0.25">
      <c r="A108" s="4" t="s">
        <v>186</v>
      </c>
      <c r="B108" s="4" t="s">
        <v>18</v>
      </c>
      <c r="C108">
        <v>79</v>
      </c>
      <c r="D108">
        <v>89</v>
      </c>
      <c r="E108">
        <v>82</v>
      </c>
      <c r="F108">
        <v>76</v>
      </c>
      <c r="G108">
        <v>80</v>
      </c>
      <c r="H108">
        <v>73</v>
      </c>
      <c r="I108">
        <v>75</v>
      </c>
      <c r="J108">
        <v>78</v>
      </c>
      <c r="K108">
        <v>77</v>
      </c>
      <c r="L108">
        <v>83</v>
      </c>
      <c r="M108">
        <v>80</v>
      </c>
      <c r="N108">
        <v>79</v>
      </c>
    </row>
    <row r="109" spans="1:14" x14ac:dyDescent="0.25">
      <c r="A109" s="4" t="s">
        <v>186</v>
      </c>
      <c r="B109" s="4" t="s">
        <v>19</v>
      </c>
      <c r="C109">
        <v>80</v>
      </c>
      <c r="D109">
        <v>88</v>
      </c>
      <c r="E109">
        <v>80</v>
      </c>
      <c r="F109">
        <v>75</v>
      </c>
      <c r="G109">
        <v>75</v>
      </c>
      <c r="H109">
        <v>70</v>
      </c>
      <c r="I109">
        <v>72</v>
      </c>
      <c r="J109">
        <v>76</v>
      </c>
      <c r="K109">
        <v>77</v>
      </c>
      <c r="L109">
        <v>83</v>
      </c>
      <c r="M109">
        <v>80</v>
      </c>
      <c r="N109">
        <v>78</v>
      </c>
    </row>
    <row r="110" spans="1:14" x14ac:dyDescent="0.25">
      <c r="A110" s="4" t="s">
        <v>186</v>
      </c>
      <c r="B110" s="4" t="s">
        <v>20</v>
      </c>
      <c r="C110">
        <v>75</v>
      </c>
      <c r="D110">
        <v>84</v>
      </c>
      <c r="E110">
        <v>73</v>
      </c>
      <c r="F110">
        <v>68</v>
      </c>
      <c r="G110">
        <v>66</v>
      </c>
      <c r="H110">
        <v>68</v>
      </c>
      <c r="I110">
        <v>66</v>
      </c>
      <c r="J110">
        <v>68</v>
      </c>
      <c r="K110">
        <v>72</v>
      </c>
      <c r="L110">
        <v>70</v>
      </c>
      <c r="M110">
        <v>74</v>
      </c>
      <c r="N110">
        <v>77</v>
      </c>
    </row>
    <row r="111" spans="1:14" x14ac:dyDescent="0.25">
      <c r="A111" s="4" t="s">
        <v>186</v>
      </c>
      <c r="B111" s="4" t="s">
        <v>21</v>
      </c>
      <c r="C111">
        <v>66</v>
      </c>
      <c r="D111">
        <v>72</v>
      </c>
      <c r="E111">
        <v>64</v>
      </c>
      <c r="F111">
        <v>63</v>
      </c>
      <c r="G111">
        <v>60</v>
      </c>
      <c r="H111">
        <v>63</v>
      </c>
      <c r="I111">
        <v>61</v>
      </c>
      <c r="J111">
        <v>60</v>
      </c>
      <c r="K111">
        <v>66</v>
      </c>
      <c r="L111">
        <v>60</v>
      </c>
      <c r="M111">
        <v>68</v>
      </c>
      <c r="N111">
        <v>71</v>
      </c>
    </row>
    <row r="112" spans="1:14" x14ac:dyDescent="0.25">
      <c r="A112" s="4" t="s">
        <v>186</v>
      </c>
      <c r="B112" s="4" t="s">
        <v>22</v>
      </c>
      <c r="C112">
        <v>60</v>
      </c>
      <c r="D112">
        <v>67</v>
      </c>
      <c r="E112">
        <v>58</v>
      </c>
      <c r="F112">
        <v>57</v>
      </c>
      <c r="G112">
        <v>55</v>
      </c>
      <c r="H112">
        <v>59</v>
      </c>
      <c r="I112">
        <v>58</v>
      </c>
      <c r="J112">
        <v>55</v>
      </c>
      <c r="K112">
        <v>61</v>
      </c>
      <c r="L112">
        <v>56</v>
      </c>
      <c r="M112">
        <v>62</v>
      </c>
      <c r="N112">
        <v>66</v>
      </c>
    </row>
    <row r="113" spans="1:14" x14ac:dyDescent="0.25">
      <c r="A113" s="4" t="s">
        <v>186</v>
      </c>
      <c r="B113" s="4" t="s">
        <v>23</v>
      </c>
      <c r="C113">
        <v>57</v>
      </c>
      <c r="D113">
        <v>64</v>
      </c>
      <c r="E113">
        <v>56</v>
      </c>
      <c r="F113">
        <v>55</v>
      </c>
      <c r="G113">
        <v>52</v>
      </c>
      <c r="H113">
        <v>55</v>
      </c>
      <c r="I113">
        <v>54</v>
      </c>
      <c r="J113">
        <v>53</v>
      </c>
      <c r="K113">
        <v>59</v>
      </c>
      <c r="L113">
        <v>54</v>
      </c>
      <c r="M113">
        <v>59</v>
      </c>
      <c r="N113">
        <v>60</v>
      </c>
    </row>
    <row r="114" spans="1:14" x14ac:dyDescent="0.25">
      <c r="A114" s="4" t="s">
        <v>186</v>
      </c>
      <c r="B114" s="4" t="s">
        <v>24</v>
      </c>
      <c r="C114">
        <v>56</v>
      </c>
      <c r="D114">
        <v>65</v>
      </c>
      <c r="E114">
        <v>55</v>
      </c>
      <c r="F114">
        <v>53</v>
      </c>
      <c r="G114">
        <v>53</v>
      </c>
      <c r="H114">
        <v>54</v>
      </c>
      <c r="I114">
        <v>52</v>
      </c>
      <c r="J114">
        <v>50</v>
      </c>
      <c r="K114">
        <v>56</v>
      </c>
      <c r="L114">
        <v>52</v>
      </c>
      <c r="M114">
        <v>57</v>
      </c>
      <c r="N114">
        <v>59</v>
      </c>
    </row>
    <row r="115" spans="1:14" x14ac:dyDescent="0.25">
      <c r="A115" s="4" t="s">
        <v>186</v>
      </c>
      <c r="B115" s="4" t="s">
        <v>25</v>
      </c>
      <c r="C115">
        <v>56</v>
      </c>
      <c r="D115">
        <v>63</v>
      </c>
      <c r="E115">
        <v>56</v>
      </c>
      <c r="F115">
        <v>51</v>
      </c>
      <c r="G115">
        <v>53</v>
      </c>
      <c r="H115">
        <v>54</v>
      </c>
      <c r="I115">
        <v>53</v>
      </c>
      <c r="J115">
        <v>49</v>
      </c>
      <c r="K115">
        <v>56</v>
      </c>
      <c r="L115">
        <v>53</v>
      </c>
      <c r="M115">
        <v>57</v>
      </c>
      <c r="N115">
        <v>59</v>
      </c>
    </row>
    <row r="116" spans="1:14" x14ac:dyDescent="0.25">
      <c r="A116" s="4" t="s">
        <v>186</v>
      </c>
      <c r="B116" s="4" t="s">
        <v>26</v>
      </c>
      <c r="C116">
        <v>55</v>
      </c>
      <c r="D116">
        <v>63</v>
      </c>
      <c r="E116">
        <v>55</v>
      </c>
      <c r="F116">
        <v>52</v>
      </c>
      <c r="G116">
        <v>53</v>
      </c>
      <c r="H116">
        <v>53</v>
      </c>
      <c r="I116">
        <v>52</v>
      </c>
      <c r="J116">
        <v>50</v>
      </c>
      <c r="K116">
        <v>56</v>
      </c>
      <c r="L116">
        <v>52</v>
      </c>
      <c r="M116">
        <v>56</v>
      </c>
      <c r="N116">
        <v>58</v>
      </c>
    </row>
    <row r="117" spans="1:14" x14ac:dyDescent="0.25">
      <c r="A117" s="4" t="s">
        <v>186</v>
      </c>
      <c r="B117" s="4" t="s">
        <v>27</v>
      </c>
      <c r="C117">
        <v>57</v>
      </c>
      <c r="D117">
        <v>63</v>
      </c>
      <c r="E117">
        <v>56</v>
      </c>
      <c r="F117">
        <v>53</v>
      </c>
      <c r="G117">
        <v>54</v>
      </c>
      <c r="H117">
        <v>54</v>
      </c>
      <c r="I117">
        <v>53</v>
      </c>
      <c r="J117">
        <v>49</v>
      </c>
      <c r="K117">
        <v>56</v>
      </c>
      <c r="L117">
        <v>54</v>
      </c>
      <c r="M117">
        <v>56</v>
      </c>
      <c r="N117">
        <v>59</v>
      </c>
    </row>
    <row r="118" spans="1:14" x14ac:dyDescent="0.25">
      <c r="A118" s="4" t="s">
        <v>186</v>
      </c>
      <c r="B118" s="4" t="s">
        <v>28</v>
      </c>
      <c r="C118">
        <v>58</v>
      </c>
      <c r="D118">
        <v>64</v>
      </c>
      <c r="E118">
        <v>58</v>
      </c>
      <c r="F118">
        <v>52</v>
      </c>
      <c r="G118">
        <v>55</v>
      </c>
      <c r="H118">
        <v>56</v>
      </c>
      <c r="I118">
        <v>54</v>
      </c>
      <c r="J118">
        <v>52</v>
      </c>
      <c r="K118">
        <v>59</v>
      </c>
      <c r="L118">
        <v>56</v>
      </c>
      <c r="M118">
        <v>60</v>
      </c>
      <c r="N118">
        <v>61</v>
      </c>
    </row>
    <row r="119" spans="1:14" x14ac:dyDescent="0.25">
      <c r="A119" s="4" t="s">
        <v>186</v>
      </c>
      <c r="B119" s="4" t="s">
        <v>29</v>
      </c>
      <c r="C119">
        <v>62</v>
      </c>
      <c r="D119">
        <v>67</v>
      </c>
      <c r="E119">
        <v>59</v>
      </c>
      <c r="F119">
        <v>56</v>
      </c>
      <c r="G119">
        <v>59</v>
      </c>
      <c r="H119">
        <v>57</v>
      </c>
      <c r="I119">
        <v>56</v>
      </c>
      <c r="J119">
        <v>55</v>
      </c>
      <c r="K119">
        <v>62</v>
      </c>
      <c r="L119">
        <v>61</v>
      </c>
      <c r="M119">
        <v>63</v>
      </c>
      <c r="N119">
        <v>62</v>
      </c>
    </row>
    <row r="120" spans="1:14" x14ac:dyDescent="0.25">
      <c r="A120" s="4" t="s">
        <v>186</v>
      </c>
      <c r="B120" s="4" t="s">
        <v>30</v>
      </c>
      <c r="C120">
        <v>65</v>
      </c>
      <c r="D120">
        <v>72</v>
      </c>
      <c r="E120">
        <v>63</v>
      </c>
      <c r="F120">
        <v>61</v>
      </c>
      <c r="G120">
        <v>62</v>
      </c>
      <c r="H120">
        <v>61</v>
      </c>
      <c r="I120">
        <v>62</v>
      </c>
      <c r="J120">
        <v>61</v>
      </c>
      <c r="K120">
        <v>64</v>
      </c>
      <c r="L120">
        <v>66</v>
      </c>
      <c r="M120">
        <v>68</v>
      </c>
      <c r="N120">
        <v>65</v>
      </c>
    </row>
    <row r="121" spans="1:14" x14ac:dyDescent="0.25">
      <c r="A121" s="4" t="s">
        <v>186</v>
      </c>
      <c r="B121" s="4" t="s">
        <v>31</v>
      </c>
      <c r="C121">
        <v>68</v>
      </c>
      <c r="D121">
        <v>77</v>
      </c>
      <c r="E121">
        <v>68</v>
      </c>
      <c r="F121">
        <v>67</v>
      </c>
      <c r="G121">
        <v>67</v>
      </c>
      <c r="H121">
        <v>65</v>
      </c>
      <c r="I121">
        <v>67</v>
      </c>
      <c r="J121">
        <v>66</v>
      </c>
      <c r="K121">
        <v>68</v>
      </c>
      <c r="L121">
        <v>70</v>
      </c>
      <c r="M121">
        <v>71</v>
      </c>
      <c r="N121">
        <v>68</v>
      </c>
    </row>
    <row r="122" spans="1:14" x14ac:dyDescent="0.25">
      <c r="A122" s="4" t="s">
        <v>186</v>
      </c>
      <c r="B122" s="4" t="s">
        <v>32</v>
      </c>
      <c r="C122">
        <v>69</v>
      </c>
      <c r="D122">
        <v>79</v>
      </c>
      <c r="E122">
        <v>71</v>
      </c>
      <c r="F122">
        <v>69</v>
      </c>
      <c r="G122">
        <v>70</v>
      </c>
      <c r="H122">
        <v>69</v>
      </c>
      <c r="I122">
        <v>70</v>
      </c>
      <c r="J122">
        <v>70</v>
      </c>
      <c r="K122">
        <v>72</v>
      </c>
      <c r="L122">
        <v>71</v>
      </c>
      <c r="M122">
        <v>72</v>
      </c>
      <c r="N122">
        <v>71</v>
      </c>
    </row>
    <row r="123" spans="1:14" x14ac:dyDescent="0.25">
      <c r="A123" s="4" t="s">
        <v>186</v>
      </c>
      <c r="B123" s="4" t="s">
        <v>33</v>
      </c>
      <c r="C123">
        <v>69</v>
      </c>
      <c r="D123">
        <v>81</v>
      </c>
      <c r="E123">
        <v>72</v>
      </c>
      <c r="F123">
        <v>70</v>
      </c>
      <c r="G123">
        <v>71</v>
      </c>
      <c r="H123">
        <v>70</v>
      </c>
      <c r="I123">
        <v>71</v>
      </c>
      <c r="J123">
        <v>72</v>
      </c>
      <c r="K123">
        <v>74</v>
      </c>
      <c r="L123">
        <v>73</v>
      </c>
      <c r="M123">
        <v>72</v>
      </c>
      <c r="N123">
        <v>72</v>
      </c>
    </row>
    <row r="124" spans="1:14" x14ac:dyDescent="0.25">
      <c r="A124" s="4" t="s">
        <v>186</v>
      </c>
      <c r="B124" s="4" t="s">
        <v>34</v>
      </c>
      <c r="C124">
        <v>71</v>
      </c>
      <c r="D124">
        <v>83</v>
      </c>
      <c r="E124">
        <v>75</v>
      </c>
      <c r="F124">
        <v>71</v>
      </c>
      <c r="G124">
        <v>73</v>
      </c>
      <c r="H124">
        <v>70</v>
      </c>
      <c r="I124">
        <v>72</v>
      </c>
      <c r="J124">
        <v>73</v>
      </c>
      <c r="K124">
        <v>74</v>
      </c>
      <c r="L124">
        <v>76</v>
      </c>
      <c r="M124">
        <v>74</v>
      </c>
      <c r="N124">
        <v>73</v>
      </c>
    </row>
    <row r="125" spans="1:14" x14ac:dyDescent="0.25">
      <c r="A125" s="4" t="s">
        <v>186</v>
      </c>
      <c r="B125" s="4" t="s">
        <v>35</v>
      </c>
      <c r="C125">
        <v>72</v>
      </c>
      <c r="D125">
        <v>84</v>
      </c>
      <c r="E125">
        <v>77</v>
      </c>
      <c r="F125">
        <v>72</v>
      </c>
      <c r="G125">
        <v>74</v>
      </c>
      <c r="H125">
        <v>70</v>
      </c>
      <c r="I125">
        <v>72</v>
      </c>
      <c r="J125">
        <v>73</v>
      </c>
      <c r="K125">
        <v>75</v>
      </c>
      <c r="L125">
        <v>77</v>
      </c>
      <c r="M125">
        <v>76</v>
      </c>
      <c r="N125">
        <v>73</v>
      </c>
    </row>
    <row r="126" spans="1:14" x14ac:dyDescent="0.25">
      <c r="A126" s="4" t="s">
        <v>186</v>
      </c>
      <c r="B126" s="4" t="s">
        <v>36</v>
      </c>
      <c r="C126">
        <v>72</v>
      </c>
      <c r="D126">
        <v>85</v>
      </c>
      <c r="E126">
        <v>77</v>
      </c>
      <c r="F126">
        <v>74</v>
      </c>
      <c r="G126">
        <v>75</v>
      </c>
      <c r="H126">
        <v>71</v>
      </c>
      <c r="I126">
        <v>73</v>
      </c>
      <c r="J126">
        <v>73</v>
      </c>
      <c r="K126">
        <v>76</v>
      </c>
      <c r="L126">
        <v>78</v>
      </c>
      <c r="M126">
        <v>77</v>
      </c>
      <c r="N126">
        <v>75</v>
      </c>
    </row>
    <row r="127" spans="1:14" x14ac:dyDescent="0.25">
      <c r="A127" s="4" t="s">
        <v>186</v>
      </c>
      <c r="B127" s="4" t="s">
        <v>193</v>
      </c>
      <c r="C127">
        <v>7</v>
      </c>
      <c r="D127">
        <v>6</v>
      </c>
      <c r="E127">
        <v>5</v>
      </c>
      <c r="F127">
        <v>6</v>
      </c>
      <c r="G127">
        <v>6</v>
      </c>
      <c r="H127">
        <v>5</v>
      </c>
      <c r="I127">
        <v>4</v>
      </c>
      <c r="J127">
        <v>6</v>
      </c>
      <c r="K127">
        <v>5</v>
      </c>
      <c r="L127">
        <v>6</v>
      </c>
      <c r="M127">
        <v>6</v>
      </c>
      <c r="N127">
        <v>5</v>
      </c>
    </row>
    <row r="128" spans="1:14" x14ac:dyDescent="0.25">
      <c r="A128" s="4" t="s">
        <v>186</v>
      </c>
      <c r="B128" s="4" t="s">
        <v>194</v>
      </c>
      <c r="C128">
        <v>14</v>
      </c>
      <c r="D128">
        <v>15</v>
      </c>
      <c r="E128">
        <v>14</v>
      </c>
      <c r="F128">
        <v>13</v>
      </c>
      <c r="G128">
        <v>11</v>
      </c>
      <c r="H128">
        <v>14</v>
      </c>
      <c r="I128">
        <v>14</v>
      </c>
      <c r="J128">
        <v>13</v>
      </c>
      <c r="K128">
        <v>14</v>
      </c>
      <c r="L128">
        <v>12</v>
      </c>
      <c r="M128">
        <v>14</v>
      </c>
      <c r="N128">
        <v>14</v>
      </c>
    </row>
    <row r="130" spans="1:14" x14ac:dyDescent="0.25">
      <c r="A130" s="4" t="s">
        <v>212</v>
      </c>
    </row>
    <row r="131" spans="1:14" x14ac:dyDescent="0.25">
      <c r="A131" s="4" t="s">
        <v>186</v>
      </c>
      <c r="B131" s="4" t="s">
        <v>0</v>
      </c>
      <c r="C131" s="4" t="s">
        <v>1</v>
      </c>
      <c r="D131" s="4" t="s">
        <v>2</v>
      </c>
      <c r="E131" s="4" t="s">
        <v>3</v>
      </c>
      <c r="F131" s="4" t="s">
        <v>4</v>
      </c>
      <c r="G131" s="4" t="s">
        <v>5</v>
      </c>
      <c r="H131" s="4" t="s">
        <v>6</v>
      </c>
      <c r="I131" s="4" t="s">
        <v>7</v>
      </c>
      <c r="J131" s="4" t="s">
        <v>8</v>
      </c>
      <c r="K131" s="4" t="s">
        <v>9</v>
      </c>
      <c r="L131" s="4" t="s">
        <v>10</v>
      </c>
      <c r="M131" s="4" t="s">
        <v>11</v>
      </c>
      <c r="N131" s="4" t="s">
        <v>12</v>
      </c>
    </row>
    <row r="132" spans="1:14" x14ac:dyDescent="0.25">
      <c r="A132" s="4" t="s">
        <v>186</v>
      </c>
      <c r="B132" s="4" t="s">
        <v>213</v>
      </c>
      <c r="C132">
        <v>1.9</v>
      </c>
      <c r="D132">
        <v>2.2000000000000002</v>
      </c>
      <c r="E132">
        <v>2</v>
      </c>
      <c r="F132">
        <v>1.9</v>
      </c>
      <c r="G132">
        <v>2.1</v>
      </c>
      <c r="H132">
        <v>2.1</v>
      </c>
      <c r="I132">
        <v>2.2000000000000002</v>
      </c>
      <c r="J132">
        <v>2.2000000000000002</v>
      </c>
      <c r="K132">
        <v>2.2999999999999998</v>
      </c>
      <c r="L132">
        <v>2.2999999999999998</v>
      </c>
      <c r="M132">
        <v>2.1</v>
      </c>
      <c r="N132">
        <v>2.1</v>
      </c>
    </row>
    <row r="134" spans="1:14" x14ac:dyDescent="0.25">
      <c r="A134" s="4" t="s">
        <v>214</v>
      </c>
    </row>
    <row r="135" spans="1:14" x14ac:dyDescent="0.25">
      <c r="A135" s="4" t="s">
        <v>186</v>
      </c>
      <c r="B135" s="4" t="s">
        <v>0</v>
      </c>
      <c r="C135" s="4" t="s">
        <v>1</v>
      </c>
      <c r="D135" s="4" t="s">
        <v>2</v>
      </c>
      <c r="E135" s="4" t="s">
        <v>3</v>
      </c>
      <c r="F135" s="4" t="s">
        <v>4</v>
      </c>
      <c r="G135" s="4" t="s">
        <v>5</v>
      </c>
      <c r="H135" s="4" t="s">
        <v>6</v>
      </c>
      <c r="I135" s="4" t="s">
        <v>7</v>
      </c>
      <c r="J135" s="4" t="s">
        <v>8</v>
      </c>
      <c r="K135" s="4" t="s">
        <v>9</v>
      </c>
      <c r="L135" s="4" t="s">
        <v>10</v>
      </c>
      <c r="M135" s="4" t="s">
        <v>11</v>
      </c>
      <c r="N135" s="4" t="s">
        <v>12</v>
      </c>
    </row>
    <row r="136" spans="1:14" x14ac:dyDescent="0.25">
      <c r="A136" s="4" t="s">
        <v>186</v>
      </c>
      <c r="B136" s="4" t="s">
        <v>215</v>
      </c>
      <c r="C136" s="4" t="s">
        <v>198</v>
      </c>
      <c r="D136" s="4" t="s">
        <v>198</v>
      </c>
      <c r="E136" s="4" t="s">
        <v>198</v>
      </c>
      <c r="F136" s="4" t="s">
        <v>198</v>
      </c>
      <c r="G136" s="4" t="s">
        <v>198</v>
      </c>
      <c r="H136" s="4" t="s">
        <v>198</v>
      </c>
      <c r="I136" s="4" t="s">
        <v>198</v>
      </c>
      <c r="J136" s="4" t="s">
        <v>198</v>
      </c>
      <c r="K136" s="4" t="s">
        <v>198</v>
      </c>
      <c r="L136" s="4" t="s">
        <v>198</v>
      </c>
      <c r="M136" s="4" t="s">
        <v>198</v>
      </c>
      <c r="N136" s="4" t="s">
        <v>198</v>
      </c>
    </row>
    <row r="137" spans="1:14" x14ac:dyDescent="0.25">
      <c r="A137" s="4" t="s">
        <v>186</v>
      </c>
      <c r="B137" s="4" t="s">
        <v>188</v>
      </c>
      <c r="C137" s="65" t="s">
        <v>198</v>
      </c>
      <c r="D137" s="65" t="s">
        <v>198</v>
      </c>
      <c r="E137" s="65" t="s">
        <v>198</v>
      </c>
      <c r="F137" s="65" t="s">
        <v>198</v>
      </c>
      <c r="G137" s="65" t="s">
        <v>198</v>
      </c>
      <c r="H137" s="65" t="s">
        <v>198</v>
      </c>
      <c r="I137" s="65" t="s">
        <v>198</v>
      </c>
      <c r="J137" s="65" t="s">
        <v>198</v>
      </c>
      <c r="K137" s="65" t="s">
        <v>198</v>
      </c>
      <c r="L137" s="65" t="s">
        <v>198</v>
      </c>
      <c r="M137" s="64" t="s">
        <v>198</v>
      </c>
      <c r="N137" s="64" t="s">
        <v>198</v>
      </c>
    </row>
    <row r="139" spans="1:14" x14ac:dyDescent="0.25">
      <c r="A139" s="4" t="s">
        <v>186</v>
      </c>
      <c r="B139" s="4" t="s">
        <v>217</v>
      </c>
      <c r="C139" s="4" t="s">
        <v>198</v>
      </c>
      <c r="D139" s="4" t="s">
        <v>198</v>
      </c>
      <c r="E139" s="4" t="s">
        <v>198</v>
      </c>
      <c r="F139" s="4" t="s">
        <v>198</v>
      </c>
      <c r="G139" s="4" t="s">
        <v>198</v>
      </c>
      <c r="H139" s="4" t="s">
        <v>198</v>
      </c>
      <c r="I139" s="4" t="s">
        <v>198</v>
      </c>
      <c r="J139" s="4" t="s">
        <v>198</v>
      </c>
      <c r="K139" s="4" t="s">
        <v>198</v>
      </c>
      <c r="L139" s="4" t="s">
        <v>198</v>
      </c>
      <c r="M139" s="4" t="s">
        <v>198</v>
      </c>
      <c r="N139" s="4" t="s">
        <v>198</v>
      </c>
    </row>
    <row r="140" spans="1:14" x14ac:dyDescent="0.25">
      <c r="A140" s="4" t="s">
        <v>186</v>
      </c>
      <c r="B140" s="4" t="s">
        <v>218</v>
      </c>
      <c r="C140" s="4" t="s">
        <v>198</v>
      </c>
      <c r="D140" s="4" t="s">
        <v>198</v>
      </c>
      <c r="E140" s="4" t="s">
        <v>198</v>
      </c>
      <c r="F140" s="4" t="s">
        <v>198</v>
      </c>
      <c r="G140" s="4" t="s">
        <v>198</v>
      </c>
      <c r="H140" s="4" t="s">
        <v>198</v>
      </c>
      <c r="I140" s="4" t="s">
        <v>198</v>
      </c>
      <c r="J140" s="4" t="s">
        <v>198</v>
      </c>
      <c r="K140" s="4" t="s">
        <v>198</v>
      </c>
      <c r="L140" s="4" t="s">
        <v>198</v>
      </c>
      <c r="M140" s="4" t="s">
        <v>198</v>
      </c>
      <c r="N140" s="4" t="s">
        <v>198</v>
      </c>
    </row>
    <row r="141" spans="1:14" x14ac:dyDescent="0.25">
      <c r="A141" s="4" t="s">
        <v>186</v>
      </c>
      <c r="B141" s="4" t="s">
        <v>219</v>
      </c>
      <c r="C141" s="4" t="s">
        <v>198</v>
      </c>
      <c r="D141" s="4" t="s">
        <v>198</v>
      </c>
      <c r="E141" s="4" t="s">
        <v>198</v>
      </c>
      <c r="F141" s="4" t="s">
        <v>198</v>
      </c>
      <c r="G141" s="4" t="s">
        <v>198</v>
      </c>
      <c r="H141" s="4" t="s">
        <v>198</v>
      </c>
      <c r="I141" s="4" t="s">
        <v>198</v>
      </c>
      <c r="J141" s="4" t="s">
        <v>198</v>
      </c>
      <c r="K141" s="4" t="s">
        <v>198</v>
      </c>
      <c r="L141" s="4" t="s">
        <v>198</v>
      </c>
      <c r="M141" s="4" t="s">
        <v>198</v>
      </c>
      <c r="N141" s="4" t="s">
        <v>198</v>
      </c>
    </row>
    <row r="143" spans="1:14" x14ac:dyDescent="0.25">
      <c r="A143" s="4" t="s">
        <v>186</v>
      </c>
      <c r="B143" s="4" t="s">
        <v>220</v>
      </c>
      <c r="C143" s="4">
        <v>31</v>
      </c>
      <c r="D143" s="4">
        <v>31</v>
      </c>
      <c r="E143" s="4">
        <v>31</v>
      </c>
      <c r="F143" s="4">
        <v>31</v>
      </c>
      <c r="G143" s="4">
        <v>32</v>
      </c>
      <c r="H143" s="4">
        <v>32</v>
      </c>
      <c r="I143">
        <v>34</v>
      </c>
      <c r="J143">
        <v>37</v>
      </c>
      <c r="K143" s="4">
        <v>36</v>
      </c>
      <c r="L143" s="4">
        <v>36</v>
      </c>
      <c r="M143" s="4">
        <v>33</v>
      </c>
      <c r="N143" s="4">
        <v>32</v>
      </c>
    </row>
    <row r="144" spans="1:14" x14ac:dyDescent="0.25">
      <c r="A144" s="4" t="s">
        <v>186</v>
      </c>
      <c r="B144" s="4" t="s">
        <v>188</v>
      </c>
      <c r="C144" s="4" t="s">
        <v>350</v>
      </c>
      <c r="D144" s="65">
        <v>0.67708333333333337</v>
      </c>
      <c r="E144" s="64">
        <v>0.55138888888888882</v>
      </c>
      <c r="F144" s="64">
        <v>1.0097222222222222</v>
      </c>
      <c r="G144" s="65">
        <v>0.76041666666666663</v>
      </c>
      <c r="H144" s="65">
        <v>1.2159722222222222</v>
      </c>
      <c r="I144" s="65">
        <v>0.42708333333333331</v>
      </c>
      <c r="J144" s="64">
        <v>0.80208333333333337</v>
      </c>
      <c r="K144" s="65" t="s">
        <v>350</v>
      </c>
      <c r="L144" s="64">
        <v>0.63472222222222219</v>
      </c>
      <c r="M144" s="65">
        <v>0.92569444444444438</v>
      </c>
      <c r="N144" s="65">
        <v>0.55138888888888882</v>
      </c>
    </row>
    <row r="146" spans="1:14" x14ac:dyDescent="0.25">
      <c r="A146" s="4" t="s">
        <v>186</v>
      </c>
      <c r="B146" s="4" t="s">
        <v>221</v>
      </c>
      <c r="C146" s="4">
        <v>29</v>
      </c>
      <c r="D146" s="4">
        <v>29</v>
      </c>
      <c r="E146" s="4">
        <v>29</v>
      </c>
      <c r="F146" s="4">
        <v>29</v>
      </c>
      <c r="G146" s="4">
        <v>30</v>
      </c>
      <c r="H146" s="4">
        <v>30</v>
      </c>
      <c r="I146">
        <v>31</v>
      </c>
      <c r="J146">
        <v>32</v>
      </c>
      <c r="K146" s="4">
        <v>31</v>
      </c>
      <c r="L146" s="4">
        <v>31</v>
      </c>
      <c r="M146" s="4">
        <v>30</v>
      </c>
      <c r="N146" s="4">
        <v>30</v>
      </c>
    </row>
    <row r="147" spans="1:14" x14ac:dyDescent="0.25">
      <c r="A147" s="4" t="s">
        <v>186</v>
      </c>
      <c r="B147" s="4" t="s">
        <v>222</v>
      </c>
      <c r="C147" s="4">
        <v>1</v>
      </c>
      <c r="D147" s="4">
        <v>2</v>
      </c>
      <c r="E147" s="4">
        <v>1</v>
      </c>
      <c r="F147" s="4">
        <v>1</v>
      </c>
      <c r="G147" s="4">
        <v>1</v>
      </c>
      <c r="H147" s="4">
        <v>1</v>
      </c>
      <c r="I147">
        <v>1</v>
      </c>
      <c r="J147">
        <v>2</v>
      </c>
      <c r="K147" s="4">
        <v>2</v>
      </c>
      <c r="L147" s="4">
        <v>2</v>
      </c>
      <c r="M147" s="4">
        <v>1</v>
      </c>
      <c r="N147" s="4">
        <v>1</v>
      </c>
    </row>
    <row r="148" spans="1:14" x14ac:dyDescent="0.25">
      <c r="A148" s="4" t="s">
        <v>186</v>
      </c>
      <c r="B148" s="4" t="s">
        <v>223</v>
      </c>
      <c r="C148" s="4">
        <v>56</v>
      </c>
      <c r="D148" s="4">
        <v>63</v>
      </c>
      <c r="E148" s="4">
        <v>105</v>
      </c>
      <c r="F148" s="4">
        <v>117</v>
      </c>
      <c r="G148" s="4">
        <v>239</v>
      </c>
      <c r="H148" s="4">
        <v>236</v>
      </c>
      <c r="I148">
        <v>308</v>
      </c>
      <c r="J148">
        <v>316</v>
      </c>
      <c r="K148" s="4">
        <v>301</v>
      </c>
      <c r="L148" s="4">
        <v>283</v>
      </c>
      <c r="M148" s="4">
        <v>167</v>
      </c>
      <c r="N148" s="4">
        <v>82</v>
      </c>
    </row>
    <row r="150" spans="1:14" x14ac:dyDescent="0.25">
      <c r="A150" s="4" t="s">
        <v>224</v>
      </c>
    </row>
    <row r="152" spans="1:14" x14ac:dyDescent="0.25">
      <c r="A152" s="4" t="s">
        <v>225</v>
      </c>
    </row>
    <row r="153" spans="1:14" x14ac:dyDescent="0.25">
      <c r="A153" s="4" t="s">
        <v>186</v>
      </c>
      <c r="B153" s="4" t="s">
        <v>0</v>
      </c>
      <c r="C153" s="4" t="s">
        <v>1</v>
      </c>
      <c r="D153" s="4" t="s">
        <v>2</v>
      </c>
      <c r="E153" s="4" t="s">
        <v>3</v>
      </c>
      <c r="F153" s="4" t="s">
        <v>4</v>
      </c>
      <c r="G153" s="4" t="s">
        <v>5</v>
      </c>
      <c r="H153" s="4" t="s">
        <v>6</v>
      </c>
      <c r="I153" s="4" t="s">
        <v>7</v>
      </c>
      <c r="J153" s="4" t="s">
        <v>8</v>
      </c>
      <c r="K153" s="4" t="s">
        <v>9</v>
      </c>
      <c r="L153" s="4" t="s">
        <v>10</v>
      </c>
      <c r="M153" s="4" t="s">
        <v>11</v>
      </c>
      <c r="N153" s="4" t="s">
        <v>12</v>
      </c>
    </row>
    <row r="154" spans="1:14" x14ac:dyDescent="0.25">
      <c r="A154" s="4" t="s">
        <v>186</v>
      </c>
      <c r="B154" s="4" t="s">
        <v>226</v>
      </c>
      <c r="C154">
        <v>23</v>
      </c>
      <c r="D154">
        <v>14</v>
      </c>
      <c r="E154">
        <v>22</v>
      </c>
      <c r="F154">
        <v>15</v>
      </c>
      <c r="G154">
        <v>13</v>
      </c>
      <c r="H154">
        <v>7</v>
      </c>
      <c r="I154">
        <v>1</v>
      </c>
      <c r="J154">
        <v>5</v>
      </c>
      <c r="K154">
        <v>11</v>
      </c>
      <c r="L154">
        <v>15</v>
      </c>
      <c r="M154">
        <v>17</v>
      </c>
      <c r="N154">
        <v>18</v>
      </c>
    </row>
    <row r="155" spans="1:14" x14ac:dyDescent="0.25">
      <c r="A155" s="4" t="s">
        <v>186</v>
      </c>
      <c r="B155" s="4" t="s">
        <v>227</v>
      </c>
      <c r="C155">
        <v>38</v>
      </c>
      <c r="D155">
        <v>11</v>
      </c>
      <c r="E155">
        <v>17</v>
      </c>
      <c r="F155">
        <v>50</v>
      </c>
      <c r="G155">
        <v>44</v>
      </c>
      <c r="H155">
        <v>60</v>
      </c>
      <c r="I155">
        <v>58</v>
      </c>
      <c r="J155">
        <v>54</v>
      </c>
      <c r="K155">
        <v>61</v>
      </c>
      <c r="L155">
        <v>41</v>
      </c>
      <c r="M155">
        <v>31</v>
      </c>
      <c r="N155">
        <v>35</v>
      </c>
    </row>
    <row r="156" spans="1:14" x14ac:dyDescent="0.25">
      <c r="A156" s="4" t="s">
        <v>186</v>
      </c>
      <c r="B156" s="4" t="s">
        <v>228</v>
      </c>
      <c r="C156">
        <v>10</v>
      </c>
      <c r="D156">
        <v>5</v>
      </c>
      <c r="E156">
        <v>26</v>
      </c>
      <c r="F156">
        <v>17</v>
      </c>
      <c r="G156">
        <v>21</v>
      </c>
      <c r="H156">
        <v>28</v>
      </c>
      <c r="I156">
        <v>39</v>
      </c>
      <c r="J156">
        <v>32</v>
      </c>
      <c r="K156">
        <v>22</v>
      </c>
      <c r="L156">
        <v>15</v>
      </c>
      <c r="M156">
        <v>34</v>
      </c>
      <c r="N156">
        <v>12</v>
      </c>
    </row>
    <row r="157" spans="1:14" x14ac:dyDescent="0.25">
      <c r="A157" s="4" t="s">
        <v>186</v>
      </c>
      <c r="B157" s="4" t="s">
        <v>229</v>
      </c>
      <c r="C157">
        <v>3</v>
      </c>
      <c r="D157">
        <v>4</v>
      </c>
      <c r="E157">
        <v>4</v>
      </c>
      <c r="F157">
        <v>3</v>
      </c>
      <c r="G157">
        <v>7</v>
      </c>
      <c r="H157">
        <v>1</v>
      </c>
      <c r="I157">
        <v>1</v>
      </c>
      <c r="J157">
        <v>1</v>
      </c>
      <c r="K157">
        <v>2</v>
      </c>
      <c r="L157">
        <v>3</v>
      </c>
      <c r="M157">
        <v>3</v>
      </c>
      <c r="N157">
        <v>9</v>
      </c>
    </row>
    <row r="158" spans="1:14" x14ac:dyDescent="0.25">
      <c r="A158" s="4" t="s">
        <v>186</v>
      </c>
      <c r="B158" s="4" t="s">
        <v>230</v>
      </c>
      <c r="C158">
        <v>5</v>
      </c>
      <c r="D158">
        <v>11</v>
      </c>
      <c r="E158">
        <v>9</v>
      </c>
      <c r="F158">
        <v>4</v>
      </c>
      <c r="G158">
        <v>6</v>
      </c>
      <c r="H158">
        <v>1</v>
      </c>
      <c r="I158">
        <v>0</v>
      </c>
      <c r="J158">
        <v>2</v>
      </c>
      <c r="K158">
        <v>2</v>
      </c>
      <c r="L158">
        <v>4</v>
      </c>
      <c r="M158">
        <v>3</v>
      </c>
      <c r="N158">
        <v>12</v>
      </c>
    </row>
    <row r="159" spans="1:14" x14ac:dyDescent="0.25">
      <c r="A159" s="4" t="s">
        <v>186</v>
      </c>
      <c r="B159" s="4" t="s">
        <v>231</v>
      </c>
      <c r="C159">
        <v>3</v>
      </c>
      <c r="D159">
        <v>16</v>
      </c>
      <c r="E159">
        <v>4</v>
      </c>
      <c r="F159">
        <v>3</v>
      </c>
      <c r="G159">
        <v>3</v>
      </c>
      <c r="H159">
        <v>0</v>
      </c>
      <c r="I159">
        <v>0</v>
      </c>
      <c r="J159">
        <v>2</v>
      </c>
      <c r="K159">
        <v>0</v>
      </c>
      <c r="L159">
        <v>3</v>
      </c>
      <c r="M159">
        <v>1</v>
      </c>
      <c r="N159">
        <v>3</v>
      </c>
    </row>
    <row r="160" spans="1:14" x14ac:dyDescent="0.25">
      <c r="A160" s="4" t="s">
        <v>186</v>
      </c>
      <c r="B160" s="4" t="s">
        <v>232</v>
      </c>
      <c r="C160">
        <v>2</v>
      </c>
      <c r="D160">
        <v>16</v>
      </c>
      <c r="E160">
        <v>3</v>
      </c>
      <c r="F160">
        <v>3</v>
      </c>
      <c r="G160">
        <v>1</v>
      </c>
      <c r="H160">
        <v>0</v>
      </c>
      <c r="I160">
        <v>0</v>
      </c>
      <c r="J160">
        <v>1</v>
      </c>
      <c r="K160">
        <v>0</v>
      </c>
      <c r="L160">
        <v>2</v>
      </c>
      <c r="M160">
        <v>1</v>
      </c>
      <c r="N160">
        <v>2</v>
      </c>
    </row>
    <row r="161" spans="1:14" x14ac:dyDescent="0.25">
      <c r="A161" s="4" t="s">
        <v>186</v>
      </c>
      <c r="B161" s="4" t="s">
        <v>233</v>
      </c>
      <c r="C161">
        <v>17</v>
      </c>
      <c r="D161">
        <v>23</v>
      </c>
      <c r="E161">
        <v>15</v>
      </c>
      <c r="F161">
        <v>6</v>
      </c>
      <c r="G161">
        <v>6</v>
      </c>
      <c r="H161">
        <v>1</v>
      </c>
      <c r="I161">
        <v>1</v>
      </c>
      <c r="J161">
        <v>3</v>
      </c>
      <c r="K161">
        <v>2</v>
      </c>
      <c r="L161">
        <v>16</v>
      </c>
      <c r="M161">
        <v>11</v>
      </c>
      <c r="N161">
        <v>9</v>
      </c>
    </row>
    <row r="163" spans="1:14" x14ac:dyDescent="0.25">
      <c r="A163" s="4" t="s">
        <v>234</v>
      </c>
    </row>
    <row r="164" spans="1:14" x14ac:dyDescent="0.25">
      <c r="A164" s="4" t="s">
        <v>186</v>
      </c>
      <c r="B164" s="4" t="s">
        <v>0</v>
      </c>
      <c r="C164" s="4" t="s">
        <v>1</v>
      </c>
      <c r="D164" s="4" t="s">
        <v>2</v>
      </c>
      <c r="E164" s="4" t="s">
        <v>3</v>
      </c>
      <c r="F164" s="4" t="s">
        <v>4</v>
      </c>
      <c r="G164" s="4" t="s">
        <v>5</v>
      </c>
      <c r="H164" s="4" t="s">
        <v>6</v>
      </c>
      <c r="I164" s="4" t="s">
        <v>7</v>
      </c>
      <c r="J164" s="4" t="s">
        <v>8</v>
      </c>
      <c r="K164" s="4" t="s">
        <v>9</v>
      </c>
      <c r="L164" s="4" t="s">
        <v>10</v>
      </c>
      <c r="M164" s="4" t="s">
        <v>11</v>
      </c>
      <c r="N164" s="4" t="s">
        <v>12</v>
      </c>
    </row>
    <row r="165" spans="1:14" x14ac:dyDescent="0.25">
      <c r="A165" s="4" t="s">
        <v>186</v>
      </c>
      <c r="B165" s="4" t="s">
        <v>187</v>
      </c>
      <c r="C165">
        <v>12.9</v>
      </c>
      <c r="D165">
        <v>11.8</v>
      </c>
      <c r="E165">
        <v>11.8</v>
      </c>
      <c r="F165">
        <v>12.4</v>
      </c>
      <c r="G165">
        <v>11.3</v>
      </c>
      <c r="H165">
        <v>10.8</v>
      </c>
      <c r="I165">
        <v>10.3</v>
      </c>
      <c r="J165">
        <v>9.8000000000000007</v>
      </c>
      <c r="K165">
        <v>11.8</v>
      </c>
      <c r="L165">
        <v>9.3000000000000007</v>
      </c>
      <c r="M165">
        <v>13.4</v>
      </c>
      <c r="N165">
        <v>10.3</v>
      </c>
    </row>
    <row r="166" spans="1:14" x14ac:dyDescent="0.25">
      <c r="A166" s="4" t="s">
        <v>186</v>
      </c>
      <c r="B166" s="4" t="s">
        <v>208</v>
      </c>
      <c r="C166" s="65">
        <v>0.46875</v>
      </c>
      <c r="D166" s="65" t="s">
        <v>315</v>
      </c>
      <c r="E166" s="65" t="s">
        <v>319</v>
      </c>
      <c r="F166" s="65" t="s">
        <v>351</v>
      </c>
      <c r="G166" s="65">
        <v>1.2611111111111111</v>
      </c>
      <c r="H166" s="64">
        <v>0.76180555555555562</v>
      </c>
      <c r="I166" s="65">
        <v>0.5493055555555556</v>
      </c>
      <c r="J166" s="65">
        <v>0.88611111111111107</v>
      </c>
      <c r="K166" s="64" t="s">
        <v>325</v>
      </c>
      <c r="L166" s="65" t="s">
        <v>368</v>
      </c>
      <c r="M166" s="64">
        <v>0.63888888888888895</v>
      </c>
      <c r="N166" s="64">
        <v>0.84097222222222223</v>
      </c>
    </row>
    <row r="168" spans="1:14" x14ac:dyDescent="0.25">
      <c r="A168" s="4" t="s">
        <v>186</v>
      </c>
      <c r="B168" s="4" t="s">
        <v>189</v>
      </c>
      <c r="C168">
        <v>0</v>
      </c>
      <c r="D168">
        <v>0</v>
      </c>
      <c r="E168">
        <v>0</v>
      </c>
      <c r="F168">
        <v>0</v>
      </c>
      <c r="G168">
        <v>0</v>
      </c>
      <c r="H168">
        <v>0</v>
      </c>
      <c r="I168">
        <v>0</v>
      </c>
      <c r="J168">
        <v>0</v>
      </c>
      <c r="K168">
        <v>0</v>
      </c>
      <c r="L168">
        <v>0</v>
      </c>
      <c r="M168">
        <v>0</v>
      </c>
      <c r="N168">
        <v>0</v>
      </c>
    </row>
    <row r="169" spans="1:14" x14ac:dyDescent="0.25">
      <c r="A169" s="4" t="s">
        <v>186</v>
      </c>
      <c r="B169" s="4" t="s">
        <v>208</v>
      </c>
      <c r="C169" s="4" t="s">
        <v>316</v>
      </c>
      <c r="D169" s="65" t="s">
        <v>369</v>
      </c>
      <c r="E169" s="4" t="s">
        <v>205</v>
      </c>
      <c r="F169" s="4" t="s">
        <v>370</v>
      </c>
      <c r="G169" s="65" t="s">
        <v>235</v>
      </c>
      <c r="H169" s="4" t="s">
        <v>371</v>
      </c>
      <c r="I169" s="65">
        <v>0.87847222222222221</v>
      </c>
      <c r="J169" s="65">
        <v>0.46111111111111108</v>
      </c>
      <c r="K169" s="4" t="s">
        <v>236</v>
      </c>
      <c r="L169" s="4" t="s">
        <v>372</v>
      </c>
      <c r="M169" s="4" t="s">
        <v>373</v>
      </c>
      <c r="N169" s="4" t="s">
        <v>374</v>
      </c>
    </row>
    <row r="171" spans="1:14" x14ac:dyDescent="0.25">
      <c r="A171" s="4" t="s">
        <v>186</v>
      </c>
      <c r="B171" s="4" t="s">
        <v>191</v>
      </c>
      <c r="C171">
        <v>4.0999999999999996</v>
      </c>
      <c r="D171">
        <v>3.7</v>
      </c>
      <c r="E171">
        <v>4.2</v>
      </c>
      <c r="F171">
        <v>4.8</v>
      </c>
      <c r="G171">
        <v>4.4000000000000004</v>
      </c>
      <c r="H171">
        <v>5.9</v>
      </c>
      <c r="I171">
        <v>6</v>
      </c>
      <c r="J171">
        <v>5.2</v>
      </c>
      <c r="K171">
        <v>5.4</v>
      </c>
      <c r="L171">
        <v>3.8</v>
      </c>
      <c r="M171">
        <v>5.2</v>
      </c>
      <c r="N171">
        <v>4.4000000000000004</v>
      </c>
    </row>
    <row r="173" spans="1:14" x14ac:dyDescent="0.25">
      <c r="A173" s="4" t="s">
        <v>375</v>
      </c>
    </row>
    <row r="174" spans="1:14" x14ac:dyDescent="0.25">
      <c r="A174" s="4" t="s">
        <v>237</v>
      </c>
    </row>
    <row r="176" spans="1:14" x14ac:dyDescent="0.25">
      <c r="A176" s="4" t="s">
        <v>238</v>
      </c>
    </row>
    <row r="177" spans="1:14" x14ac:dyDescent="0.25">
      <c r="A177" s="4" t="s">
        <v>186</v>
      </c>
      <c r="B177" s="4" t="s">
        <v>0</v>
      </c>
      <c r="C177" s="4" t="s">
        <v>1</v>
      </c>
      <c r="D177" s="4" t="s">
        <v>2</v>
      </c>
      <c r="E177" s="4" t="s">
        <v>3</v>
      </c>
      <c r="F177" s="4" t="s">
        <v>4</v>
      </c>
      <c r="G177" s="4" t="s">
        <v>5</v>
      </c>
      <c r="H177" s="4" t="s">
        <v>6</v>
      </c>
      <c r="I177" s="4" t="s">
        <v>7</v>
      </c>
      <c r="J177" s="4" t="s">
        <v>8</v>
      </c>
      <c r="K177" s="4" t="s">
        <v>9</v>
      </c>
      <c r="L177" s="4" t="s">
        <v>10</v>
      </c>
      <c r="M177" s="4" t="s">
        <v>11</v>
      </c>
      <c r="N177" s="4" t="s">
        <v>12</v>
      </c>
    </row>
    <row r="178" spans="1:14" x14ac:dyDescent="0.25">
      <c r="A178" s="4" t="s">
        <v>186</v>
      </c>
      <c r="B178" s="4" t="s">
        <v>239</v>
      </c>
      <c r="C178">
        <v>0</v>
      </c>
      <c r="D178">
        <v>150</v>
      </c>
      <c r="E178">
        <v>57</v>
      </c>
      <c r="F178">
        <v>0</v>
      </c>
      <c r="G178">
        <v>0</v>
      </c>
      <c r="H178">
        <v>0</v>
      </c>
      <c r="I178">
        <v>0</v>
      </c>
      <c r="J178">
        <v>0</v>
      </c>
      <c r="K178">
        <v>3</v>
      </c>
      <c r="L178">
        <v>0</v>
      </c>
      <c r="M178">
        <v>0</v>
      </c>
      <c r="N178">
        <v>0</v>
      </c>
    </row>
    <row r="180" spans="1:14" x14ac:dyDescent="0.25">
      <c r="A180" s="4" t="s">
        <v>240</v>
      </c>
      <c r="B180" s="4" t="s">
        <v>244</v>
      </c>
      <c r="C180">
        <v>5116</v>
      </c>
      <c r="D180">
        <v>7541</v>
      </c>
      <c r="E180">
        <v>9873</v>
      </c>
      <c r="F180">
        <v>11403</v>
      </c>
      <c r="G180">
        <v>13005</v>
      </c>
      <c r="H180">
        <v>14058</v>
      </c>
      <c r="I180">
        <v>12936</v>
      </c>
      <c r="J180">
        <v>12259</v>
      </c>
      <c r="K180">
        <v>9058</v>
      </c>
      <c r="L180">
        <v>8179</v>
      </c>
      <c r="M180">
        <v>5793</v>
      </c>
      <c r="N180">
        <v>3940</v>
      </c>
    </row>
    <row r="181" spans="1:14" x14ac:dyDescent="0.25">
      <c r="A181" s="4" t="s">
        <v>186</v>
      </c>
      <c r="B181" s="4" t="s">
        <v>0</v>
      </c>
      <c r="C181" s="4" t="s">
        <v>1</v>
      </c>
      <c r="D181" s="4" t="s">
        <v>2</v>
      </c>
      <c r="E181" s="4" t="s">
        <v>3</v>
      </c>
      <c r="F181" s="4" t="s">
        <v>4</v>
      </c>
      <c r="G181" s="4" t="s">
        <v>5</v>
      </c>
      <c r="H181" s="4" t="s">
        <v>6</v>
      </c>
      <c r="I181" s="4" t="s">
        <v>7</v>
      </c>
      <c r="J181" s="4" t="s">
        <v>8</v>
      </c>
      <c r="K181" s="4" t="s">
        <v>9</v>
      </c>
      <c r="L181" s="4" t="s">
        <v>10</v>
      </c>
      <c r="M181" s="4" t="s">
        <v>11</v>
      </c>
      <c r="N181" s="4" t="s">
        <v>12</v>
      </c>
    </row>
    <row r="182" spans="1:14" x14ac:dyDescent="0.25">
      <c r="A182" s="4" t="s">
        <v>186</v>
      </c>
      <c r="B182" s="4" t="s">
        <v>241</v>
      </c>
      <c r="C182">
        <v>0</v>
      </c>
      <c r="D182">
        <v>0.12</v>
      </c>
      <c r="E182">
        <v>0.11</v>
      </c>
      <c r="F182">
        <v>0</v>
      </c>
      <c r="G182">
        <v>0</v>
      </c>
      <c r="H182">
        <v>0</v>
      </c>
      <c r="I182">
        <v>0</v>
      </c>
      <c r="J182">
        <v>0</v>
      </c>
      <c r="K182">
        <v>0.11</v>
      </c>
      <c r="L182">
        <v>0</v>
      </c>
      <c r="M182">
        <v>0</v>
      </c>
      <c r="N182">
        <v>0</v>
      </c>
    </row>
    <row r="183" spans="1:14" x14ac:dyDescent="0.25">
      <c r="A183" s="4" t="s">
        <v>186</v>
      </c>
      <c r="B183" s="4" t="s">
        <v>246</v>
      </c>
      <c r="C183">
        <v>379</v>
      </c>
      <c r="D183">
        <v>858</v>
      </c>
      <c r="E183">
        <v>1645</v>
      </c>
      <c r="F183">
        <v>1740</v>
      </c>
      <c r="G183">
        <v>2269</v>
      </c>
      <c r="H183">
        <v>2144</v>
      </c>
      <c r="I183">
        <v>2166</v>
      </c>
      <c r="J183">
        <v>1692</v>
      </c>
      <c r="K183">
        <v>1287</v>
      </c>
      <c r="L183">
        <v>805</v>
      </c>
      <c r="M183">
        <v>426</v>
      </c>
      <c r="N183">
        <v>288</v>
      </c>
    </row>
    <row r="184" spans="1:14" x14ac:dyDescent="0.25">
      <c r="A184" s="4" t="s">
        <v>242</v>
      </c>
    </row>
    <row r="185" spans="1:14" x14ac:dyDescent="0.25">
      <c r="A185" s="4" t="s">
        <v>186</v>
      </c>
      <c r="B185" s="4" t="s">
        <v>0</v>
      </c>
      <c r="C185" s="4" t="s">
        <v>1</v>
      </c>
      <c r="D185" s="4" t="s">
        <v>2</v>
      </c>
      <c r="E185" s="4" t="s">
        <v>3</v>
      </c>
      <c r="F185" s="4" t="s">
        <v>4</v>
      </c>
      <c r="G185" s="4" t="s">
        <v>5</v>
      </c>
      <c r="H185" s="4" t="s">
        <v>6</v>
      </c>
      <c r="I185" s="4" t="s">
        <v>7</v>
      </c>
      <c r="J185" s="4" t="s">
        <v>8</v>
      </c>
      <c r="K185" s="4" t="s">
        <v>9</v>
      </c>
      <c r="L185" s="4" t="s">
        <v>10</v>
      </c>
      <c r="M185" s="4" t="s">
        <v>11</v>
      </c>
      <c r="N185" s="4" t="s">
        <v>12</v>
      </c>
    </row>
    <row r="186" spans="1:14" x14ac:dyDescent="0.25">
      <c r="A186" s="4" t="s">
        <v>186</v>
      </c>
      <c r="B186" s="4" t="s">
        <v>243</v>
      </c>
      <c r="C186">
        <v>4597</v>
      </c>
      <c r="D186">
        <v>4427</v>
      </c>
      <c r="E186">
        <v>4509</v>
      </c>
      <c r="F186">
        <v>4963</v>
      </c>
      <c r="G186">
        <v>5300</v>
      </c>
      <c r="H186">
        <v>5676</v>
      </c>
      <c r="I186">
        <v>5939</v>
      </c>
      <c r="J186">
        <v>6318</v>
      </c>
      <c r="K186">
        <v>5205</v>
      </c>
      <c r="L186">
        <v>5068</v>
      </c>
      <c r="M186">
        <v>4429</v>
      </c>
      <c r="N186">
        <v>4489</v>
      </c>
    </row>
    <row r="188" spans="1:14" x14ac:dyDescent="0.25">
      <c r="A188" s="4" t="s">
        <v>186</v>
      </c>
      <c r="B188" s="4" t="s">
        <v>244</v>
      </c>
      <c r="C188">
        <v>8632</v>
      </c>
      <c r="D188">
        <v>8426</v>
      </c>
      <c r="E188">
        <v>7294</v>
      </c>
      <c r="F188">
        <v>8166</v>
      </c>
      <c r="G188">
        <v>9457</v>
      </c>
      <c r="H188">
        <v>8067</v>
      </c>
      <c r="I188">
        <v>9229</v>
      </c>
      <c r="J188">
        <v>9301</v>
      </c>
      <c r="K188">
        <v>7449</v>
      </c>
      <c r="L188">
        <v>8721</v>
      </c>
      <c r="M188">
        <v>7478</v>
      </c>
      <c r="N188">
        <v>8125</v>
      </c>
    </row>
    <row r="189" spans="1:14" x14ac:dyDescent="0.25">
      <c r="A189" s="4" t="s">
        <v>186</v>
      </c>
      <c r="B189" s="4" t="s">
        <v>245</v>
      </c>
      <c r="C189" s="4">
        <v>29</v>
      </c>
      <c r="D189" s="4">
        <v>26</v>
      </c>
      <c r="E189" s="4">
        <v>26</v>
      </c>
      <c r="F189" s="4">
        <v>20</v>
      </c>
      <c r="G189" s="4">
        <v>30</v>
      </c>
      <c r="H189" s="4">
        <v>30</v>
      </c>
      <c r="I189" s="4">
        <v>24</v>
      </c>
      <c r="J189" s="4">
        <v>18</v>
      </c>
      <c r="K189" s="4">
        <v>17</v>
      </c>
      <c r="L189" s="4">
        <v>3</v>
      </c>
      <c r="M189" s="4">
        <v>21</v>
      </c>
      <c r="N189" s="4">
        <v>13</v>
      </c>
    </row>
    <row r="190" spans="1:14" x14ac:dyDescent="0.25">
      <c r="A190" s="4" t="s">
        <v>186</v>
      </c>
      <c r="B190" s="4" t="s">
        <v>13</v>
      </c>
      <c r="C190">
        <v>0</v>
      </c>
      <c r="D190">
        <v>0</v>
      </c>
      <c r="E190">
        <v>0</v>
      </c>
      <c r="F190">
        <v>0</v>
      </c>
      <c r="G190">
        <v>0</v>
      </c>
      <c r="H190">
        <v>0</v>
      </c>
      <c r="I190">
        <v>0</v>
      </c>
      <c r="J190">
        <v>0</v>
      </c>
      <c r="K190">
        <v>0</v>
      </c>
      <c r="L190">
        <v>0</v>
      </c>
      <c r="M190">
        <v>0</v>
      </c>
      <c r="N190">
        <v>0</v>
      </c>
    </row>
    <row r="191" spans="1:14" x14ac:dyDescent="0.25">
      <c r="A191" s="4" t="s">
        <v>186</v>
      </c>
      <c r="B191" s="4" t="s">
        <v>246</v>
      </c>
      <c r="C191">
        <v>1484</v>
      </c>
      <c r="D191">
        <v>1792</v>
      </c>
      <c r="E191">
        <v>2158</v>
      </c>
      <c r="F191">
        <v>2336</v>
      </c>
      <c r="G191">
        <v>2416</v>
      </c>
      <c r="H191">
        <v>2427</v>
      </c>
      <c r="I191">
        <v>2191</v>
      </c>
      <c r="J191">
        <v>2043</v>
      </c>
      <c r="K191">
        <v>2255</v>
      </c>
      <c r="L191">
        <v>1837</v>
      </c>
      <c r="M191">
        <v>1681</v>
      </c>
      <c r="N191">
        <v>1398</v>
      </c>
    </row>
    <row r="192" spans="1:14" x14ac:dyDescent="0.25">
      <c r="A192" s="4" t="s">
        <v>186</v>
      </c>
      <c r="B192" s="4" t="s">
        <v>15</v>
      </c>
      <c r="C192">
        <v>0</v>
      </c>
      <c r="D192">
        <v>0</v>
      </c>
      <c r="E192">
        <v>0</v>
      </c>
      <c r="F192">
        <v>0</v>
      </c>
      <c r="G192">
        <v>0</v>
      </c>
      <c r="H192">
        <v>0</v>
      </c>
      <c r="I192">
        <v>0</v>
      </c>
      <c r="J192">
        <v>0</v>
      </c>
      <c r="K192">
        <v>0</v>
      </c>
      <c r="L192">
        <v>0</v>
      </c>
      <c r="M192">
        <v>0</v>
      </c>
      <c r="N192">
        <v>0</v>
      </c>
    </row>
    <row r="193" spans="1:14" x14ac:dyDescent="0.25">
      <c r="A193" s="4" t="s">
        <v>186</v>
      </c>
      <c r="B193" s="4" t="s">
        <v>247</v>
      </c>
      <c r="C193">
        <v>3984</v>
      </c>
      <c r="D193">
        <v>4486</v>
      </c>
      <c r="E193">
        <v>5244</v>
      </c>
      <c r="F193">
        <v>5815</v>
      </c>
      <c r="G193">
        <v>6308</v>
      </c>
      <c r="H193">
        <v>6491</v>
      </c>
      <c r="I193">
        <v>6524</v>
      </c>
      <c r="J193">
        <v>6550</v>
      </c>
      <c r="K193">
        <v>5819</v>
      </c>
      <c r="L193">
        <v>5016</v>
      </c>
      <c r="M193">
        <v>4149</v>
      </c>
      <c r="N193">
        <v>3766</v>
      </c>
    </row>
    <row r="194" spans="1:14" x14ac:dyDescent="0.25">
      <c r="A194" s="4" t="s">
        <v>376</v>
      </c>
      <c r="B194" s="4" t="s">
        <v>17</v>
      </c>
      <c r="C194">
        <v>0</v>
      </c>
      <c r="D194">
        <v>0</v>
      </c>
      <c r="E194">
        <v>0</v>
      </c>
      <c r="F194">
        <v>0</v>
      </c>
      <c r="G194">
        <v>94</v>
      </c>
      <c r="H194">
        <v>205</v>
      </c>
      <c r="I194">
        <v>152</v>
      </c>
      <c r="J194">
        <v>0</v>
      </c>
      <c r="K194">
        <v>0</v>
      </c>
      <c r="L194">
        <v>0</v>
      </c>
      <c r="M194">
        <v>0</v>
      </c>
      <c r="N194">
        <v>0</v>
      </c>
    </row>
    <row r="195" spans="1:14" x14ac:dyDescent="0.25">
      <c r="A195" s="4" t="s">
        <v>186</v>
      </c>
      <c r="B195" s="4" t="s">
        <v>18</v>
      </c>
      <c r="C195">
        <v>0</v>
      </c>
      <c r="D195">
        <v>0</v>
      </c>
      <c r="E195">
        <v>0</v>
      </c>
      <c r="F195">
        <v>55</v>
      </c>
      <c r="G195">
        <v>283</v>
      </c>
      <c r="H195">
        <v>293</v>
      </c>
      <c r="I195">
        <v>382</v>
      </c>
      <c r="J195">
        <v>140</v>
      </c>
      <c r="K195">
        <v>0</v>
      </c>
      <c r="L195">
        <v>0</v>
      </c>
      <c r="M195">
        <v>0</v>
      </c>
      <c r="N195">
        <v>0</v>
      </c>
    </row>
    <row r="196" spans="1:14" x14ac:dyDescent="0.25">
      <c r="A196" s="4" t="s">
        <v>248</v>
      </c>
      <c r="B196" s="4" t="s">
        <v>19</v>
      </c>
      <c r="C196">
        <v>0</v>
      </c>
      <c r="D196">
        <v>0</v>
      </c>
      <c r="E196">
        <v>44</v>
      </c>
      <c r="F196">
        <v>359</v>
      </c>
      <c r="G196">
        <v>330</v>
      </c>
      <c r="H196">
        <v>391</v>
      </c>
      <c r="I196">
        <v>493</v>
      </c>
      <c r="J196">
        <v>271</v>
      </c>
      <c r="K196">
        <v>159</v>
      </c>
      <c r="L196">
        <v>0</v>
      </c>
      <c r="M196">
        <v>0</v>
      </c>
      <c r="N196">
        <v>0</v>
      </c>
    </row>
    <row r="197" spans="1:14" x14ac:dyDescent="0.25">
      <c r="A197" s="4" t="s">
        <v>186</v>
      </c>
      <c r="B197" s="4" t="s">
        <v>0</v>
      </c>
      <c r="C197" s="4" t="s">
        <v>1</v>
      </c>
      <c r="D197" s="4" t="s">
        <v>2</v>
      </c>
      <c r="E197" s="4" t="s">
        <v>3</v>
      </c>
      <c r="F197" s="4" t="s">
        <v>4</v>
      </c>
      <c r="G197" s="4" t="s">
        <v>5</v>
      </c>
      <c r="H197" s="4" t="s">
        <v>6</v>
      </c>
      <c r="I197" s="4" t="s">
        <v>7</v>
      </c>
      <c r="J197" s="4" t="s">
        <v>8</v>
      </c>
      <c r="K197" s="4" t="s">
        <v>9</v>
      </c>
      <c r="L197" s="4" t="s">
        <v>10</v>
      </c>
      <c r="M197" s="4" t="s">
        <v>11</v>
      </c>
      <c r="N197" s="4" t="s">
        <v>12</v>
      </c>
    </row>
    <row r="198" spans="1:14" x14ac:dyDescent="0.25">
      <c r="A198" s="4" t="s">
        <v>186</v>
      </c>
      <c r="B198" s="4" t="s">
        <v>13</v>
      </c>
      <c r="C198">
        <v>0</v>
      </c>
      <c r="D198">
        <v>0</v>
      </c>
      <c r="E198">
        <v>0</v>
      </c>
      <c r="F198">
        <v>0</v>
      </c>
      <c r="G198">
        <v>0</v>
      </c>
      <c r="H198">
        <v>0</v>
      </c>
      <c r="I198">
        <v>0</v>
      </c>
      <c r="J198">
        <v>0</v>
      </c>
      <c r="K198">
        <v>0</v>
      </c>
      <c r="L198">
        <v>0</v>
      </c>
      <c r="M198">
        <v>0</v>
      </c>
      <c r="N198">
        <v>0</v>
      </c>
    </row>
    <row r="199" spans="1:14" x14ac:dyDescent="0.25">
      <c r="A199" s="4" t="s">
        <v>186</v>
      </c>
      <c r="B199" s="4" t="s">
        <v>14</v>
      </c>
      <c r="C199">
        <v>0</v>
      </c>
      <c r="D199">
        <v>0</v>
      </c>
      <c r="E199">
        <v>0</v>
      </c>
      <c r="F199">
        <v>0</v>
      </c>
      <c r="G199">
        <v>0</v>
      </c>
      <c r="H199">
        <v>0</v>
      </c>
      <c r="I199">
        <v>0</v>
      </c>
      <c r="J199">
        <v>0</v>
      </c>
      <c r="K199">
        <v>0</v>
      </c>
      <c r="L199">
        <v>0</v>
      </c>
      <c r="M199">
        <v>0</v>
      </c>
      <c r="N199">
        <v>0</v>
      </c>
    </row>
    <row r="200" spans="1:14" x14ac:dyDescent="0.25">
      <c r="A200" s="4" t="s">
        <v>186</v>
      </c>
      <c r="B200" s="4" t="s">
        <v>15</v>
      </c>
      <c r="C200">
        <v>0</v>
      </c>
      <c r="D200">
        <v>0</v>
      </c>
      <c r="E200">
        <v>0</v>
      </c>
      <c r="F200">
        <v>0</v>
      </c>
      <c r="G200">
        <v>0</v>
      </c>
      <c r="H200">
        <v>0</v>
      </c>
      <c r="I200">
        <v>0</v>
      </c>
      <c r="J200">
        <v>0</v>
      </c>
      <c r="K200">
        <v>0</v>
      </c>
      <c r="L200">
        <v>0</v>
      </c>
      <c r="M200">
        <v>0</v>
      </c>
      <c r="N200">
        <v>0</v>
      </c>
    </row>
    <row r="201" spans="1:14" x14ac:dyDescent="0.25">
      <c r="A201" s="4" t="s">
        <v>186</v>
      </c>
      <c r="B201" s="4" t="s">
        <v>16</v>
      </c>
      <c r="C201">
        <v>0</v>
      </c>
      <c r="D201">
        <v>0</v>
      </c>
      <c r="E201">
        <v>0</v>
      </c>
      <c r="F201">
        <v>0</v>
      </c>
      <c r="G201">
        <v>0</v>
      </c>
      <c r="H201">
        <v>0</v>
      </c>
      <c r="I201">
        <v>0</v>
      </c>
      <c r="J201">
        <v>0</v>
      </c>
      <c r="K201">
        <v>0</v>
      </c>
      <c r="L201">
        <v>0</v>
      </c>
      <c r="M201">
        <v>0</v>
      </c>
      <c r="N201">
        <v>0</v>
      </c>
    </row>
    <row r="202" spans="1:14" x14ac:dyDescent="0.25">
      <c r="A202" s="4" t="s">
        <v>186</v>
      </c>
      <c r="B202" s="4" t="s">
        <v>17</v>
      </c>
      <c r="C202">
        <v>0</v>
      </c>
      <c r="D202">
        <v>0</v>
      </c>
      <c r="E202">
        <v>0</v>
      </c>
      <c r="F202">
        <v>0</v>
      </c>
      <c r="G202">
        <v>9</v>
      </c>
      <c r="H202">
        <v>15</v>
      </c>
      <c r="I202">
        <v>1</v>
      </c>
      <c r="J202">
        <v>0</v>
      </c>
      <c r="K202">
        <v>0</v>
      </c>
      <c r="L202">
        <v>0</v>
      </c>
      <c r="M202">
        <v>0</v>
      </c>
      <c r="N202">
        <v>0</v>
      </c>
    </row>
    <row r="203" spans="1:14" x14ac:dyDescent="0.25">
      <c r="A203" s="4" t="s">
        <v>186</v>
      </c>
      <c r="B203" s="4" t="s">
        <v>18</v>
      </c>
      <c r="C203">
        <v>0</v>
      </c>
      <c r="D203">
        <v>0</v>
      </c>
      <c r="E203">
        <v>0</v>
      </c>
      <c r="F203">
        <v>93</v>
      </c>
      <c r="G203">
        <v>172</v>
      </c>
      <c r="H203">
        <v>202</v>
      </c>
      <c r="I203">
        <v>129</v>
      </c>
      <c r="J203">
        <v>147</v>
      </c>
      <c r="K203">
        <v>0</v>
      </c>
      <c r="L203">
        <v>99</v>
      </c>
      <c r="M203">
        <v>24</v>
      </c>
      <c r="N203">
        <v>0</v>
      </c>
    </row>
    <row r="204" spans="1:14" x14ac:dyDescent="0.25">
      <c r="A204" s="4" t="s">
        <v>186</v>
      </c>
      <c r="B204" s="4" t="s">
        <v>19</v>
      </c>
      <c r="C204">
        <v>138</v>
      </c>
      <c r="D204">
        <v>1</v>
      </c>
      <c r="E204">
        <v>11</v>
      </c>
      <c r="F204">
        <v>297</v>
      </c>
      <c r="G204">
        <v>352</v>
      </c>
      <c r="H204">
        <v>358</v>
      </c>
      <c r="I204">
        <v>285</v>
      </c>
      <c r="J204">
        <v>370</v>
      </c>
      <c r="K204">
        <v>85</v>
      </c>
      <c r="L204">
        <v>350</v>
      </c>
      <c r="M204">
        <v>228</v>
      </c>
      <c r="N204">
        <v>176</v>
      </c>
    </row>
    <row r="205" spans="1:14" x14ac:dyDescent="0.25">
      <c r="A205" s="4" t="s">
        <v>186</v>
      </c>
      <c r="B205" s="4" t="s">
        <v>20</v>
      </c>
      <c r="C205">
        <v>384</v>
      </c>
      <c r="D205">
        <v>120</v>
      </c>
      <c r="E205">
        <v>219</v>
      </c>
      <c r="F205">
        <v>385</v>
      </c>
      <c r="G205">
        <v>430</v>
      </c>
      <c r="H205">
        <v>441</v>
      </c>
      <c r="I205">
        <v>486</v>
      </c>
      <c r="J205">
        <v>503</v>
      </c>
      <c r="K205">
        <v>305</v>
      </c>
      <c r="L205">
        <v>511</v>
      </c>
      <c r="M205">
        <v>379</v>
      </c>
      <c r="N205">
        <v>334</v>
      </c>
    </row>
    <row r="206" spans="1:14" x14ac:dyDescent="0.25">
      <c r="A206" s="4" t="s">
        <v>186</v>
      </c>
      <c r="B206" s="4" t="s">
        <v>21</v>
      </c>
      <c r="C206">
        <v>547</v>
      </c>
      <c r="D206">
        <v>345</v>
      </c>
      <c r="E206">
        <v>372</v>
      </c>
      <c r="F206">
        <v>411</v>
      </c>
      <c r="G206">
        <v>498</v>
      </c>
      <c r="H206">
        <v>508</v>
      </c>
      <c r="I206">
        <v>521</v>
      </c>
      <c r="J206">
        <v>569</v>
      </c>
      <c r="K206">
        <v>456</v>
      </c>
      <c r="L206">
        <v>591</v>
      </c>
      <c r="M206">
        <v>398</v>
      </c>
      <c r="N206">
        <v>456</v>
      </c>
    </row>
    <row r="207" spans="1:14" x14ac:dyDescent="0.25">
      <c r="A207" s="4" t="s">
        <v>186</v>
      </c>
      <c r="B207" s="4" t="s">
        <v>22</v>
      </c>
      <c r="C207">
        <v>539</v>
      </c>
      <c r="D207">
        <v>390</v>
      </c>
      <c r="E207">
        <v>459</v>
      </c>
      <c r="F207">
        <v>437</v>
      </c>
      <c r="G207">
        <v>527</v>
      </c>
      <c r="H207">
        <v>536</v>
      </c>
      <c r="I207">
        <v>532</v>
      </c>
      <c r="J207">
        <v>585</v>
      </c>
      <c r="K207">
        <v>501</v>
      </c>
      <c r="L207">
        <v>579</v>
      </c>
      <c r="M207">
        <v>352</v>
      </c>
      <c r="N207">
        <v>493</v>
      </c>
    </row>
    <row r="208" spans="1:14" x14ac:dyDescent="0.25">
      <c r="A208" s="4" t="s">
        <v>186</v>
      </c>
      <c r="B208" s="4" t="s">
        <v>23</v>
      </c>
      <c r="C208">
        <v>553</v>
      </c>
      <c r="D208">
        <v>443</v>
      </c>
      <c r="E208">
        <v>434</v>
      </c>
      <c r="F208">
        <v>454</v>
      </c>
      <c r="G208">
        <v>506</v>
      </c>
      <c r="H208">
        <v>503</v>
      </c>
      <c r="I208">
        <v>607</v>
      </c>
      <c r="J208">
        <v>606</v>
      </c>
      <c r="K208">
        <v>475</v>
      </c>
      <c r="L208">
        <v>558</v>
      </c>
      <c r="M208">
        <v>401</v>
      </c>
      <c r="N208">
        <v>553</v>
      </c>
    </row>
    <row r="209" spans="1:14" x14ac:dyDescent="0.25">
      <c r="A209" s="4" t="s">
        <v>186</v>
      </c>
      <c r="B209" s="4" t="s">
        <v>24</v>
      </c>
      <c r="C209">
        <v>537</v>
      </c>
      <c r="D209">
        <v>483</v>
      </c>
      <c r="E209">
        <v>485</v>
      </c>
      <c r="F209">
        <v>518</v>
      </c>
      <c r="G209">
        <v>592</v>
      </c>
      <c r="H209">
        <v>528</v>
      </c>
      <c r="I209">
        <v>574</v>
      </c>
      <c r="J209">
        <v>648</v>
      </c>
      <c r="K209">
        <v>535</v>
      </c>
      <c r="L209">
        <v>531</v>
      </c>
      <c r="M209">
        <v>544</v>
      </c>
      <c r="N209">
        <v>545</v>
      </c>
    </row>
    <row r="210" spans="1:14" x14ac:dyDescent="0.25">
      <c r="A210" s="4" t="s">
        <v>186</v>
      </c>
      <c r="B210" s="4" t="s">
        <v>25</v>
      </c>
      <c r="C210">
        <v>515</v>
      </c>
      <c r="D210">
        <v>496</v>
      </c>
      <c r="E210">
        <v>496</v>
      </c>
      <c r="F210">
        <v>561</v>
      </c>
      <c r="G210">
        <v>511</v>
      </c>
      <c r="H210">
        <v>525</v>
      </c>
      <c r="I210">
        <v>562</v>
      </c>
      <c r="J210">
        <v>578</v>
      </c>
      <c r="K210">
        <v>496</v>
      </c>
      <c r="L210">
        <v>507</v>
      </c>
      <c r="M210">
        <v>558</v>
      </c>
      <c r="N210">
        <v>547</v>
      </c>
    </row>
    <row r="211" spans="1:14" x14ac:dyDescent="0.25">
      <c r="A211" s="4" t="s">
        <v>186</v>
      </c>
      <c r="B211" s="4" t="s">
        <v>26</v>
      </c>
      <c r="C211">
        <v>467</v>
      </c>
      <c r="D211">
        <v>536</v>
      </c>
      <c r="E211">
        <v>507</v>
      </c>
      <c r="F211">
        <v>457</v>
      </c>
      <c r="G211">
        <v>511</v>
      </c>
      <c r="H211">
        <v>533</v>
      </c>
      <c r="I211">
        <v>569</v>
      </c>
      <c r="J211">
        <v>634</v>
      </c>
      <c r="K211">
        <v>571</v>
      </c>
      <c r="L211">
        <v>472</v>
      </c>
      <c r="M211">
        <v>528</v>
      </c>
      <c r="N211">
        <v>487</v>
      </c>
    </row>
    <row r="212" spans="1:14" x14ac:dyDescent="0.25">
      <c r="A212" s="4" t="s">
        <v>186</v>
      </c>
      <c r="B212" s="4" t="s">
        <v>27</v>
      </c>
      <c r="C212">
        <v>410</v>
      </c>
      <c r="D212">
        <v>498</v>
      </c>
      <c r="E212">
        <v>468</v>
      </c>
      <c r="F212">
        <v>445</v>
      </c>
      <c r="G212">
        <v>459</v>
      </c>
      <c r="H212">
        <v>514</v>
      </c>
      <c r="I212">
        <v>562</v>
      </c>
      <c r="J212">
        <v>595</v>
      </c>
      <c r="K212">
        <v>521</v>
      </c>
      <c r="L212">
        <v>395</v>
      </c>
      <c r="M212">
        <v>517</v>
      </c>
      <c r="N212">
        <v>413</v>
      </c>
    </row>
    <row r="213" spans="1:14" x14ac:dyDescent="0.25">
      <c r="A213" s="4" t="s">
        <v>186</v>
      </c>
      <c r="B213" s="4" t="s">
        <v>28</v>
      </c>
      <c r="C213">
        <v>324</v>
      </c>
      <c r="D213">
        <v>456</v>
      </c>
      <c r="E213">
        <v>454</v>
      </c>
      <c r="F213">
        <v>419</v>
      </c>
      <c r="G213">
        <v>366</v>
      </c>
      <c r="H213">
        <v>444</v>
      </c>
      <c r="I213">
        <v>476</v>
      </c>
      <c r="J213">
        <v>502</v>
      </c>
      <c r="K213">
        <v>525</v>
      </c>
      <c r="L213">
        <v>317</v>
      </c>
      <c r="M213">
        <v>353</v>
      </c>
      <c r="N213">
        <v>343</v>
      </c>
    </row>
    <row r="214" spans="1:14" x14ac:dyDescent="0.25">
      <c r="A214" s="4" t="s">
        <v>186</v>
      </c>
      <c r="B214" s="4" t="s">
        <v>29</v>
      </c>
      <c r="C214">
        <v>170</v>
      </c>
      <c r="D214">
        <v>379</v>
      </c>
      <c r="E214">
        <v>329</v>
      </c>
      <c r="F214">
        <v>352</v>
      </c>
      <c r="G214">
        <v>238</v>
      </c>
      <c r="H214" s="4">
        <v>362</v>
      </c>
      <c r="I214" s="4">
        <v>401</v>
      </c>
      <c r="J214" s="4">
        <v>372</v>
      </c>
      <c r="K214" s="4">
        <v>411</v>
      </c>
      <c r="L214">
        <v>152</v>
      </c>
      <c r="M214">
        <v>146</v>
      </c>
      <c r="N214">
        <v>141</v>
      </c>
    </row>
    <row r="215" spans="1:14" x14ac:dyDescent="0.25">
      <c r="A215" s="4" t="s">
        <v>186</v>
      </c>
      <c r="B215" s="4" t="s">
        <v>30</v>
      </c>
      <c r="C215">
        <v>12</v>
      </c>
      <c r="D215">
        <v>254</v>
      </c>
      <c r="E215">
        <v>237</v>
      </c>
      <c r="F215">
        <v>135</v>
      </c>
      <c r="G215">
        <v>129</v>
      </c>
      <c r="H215">
        <v>186</v>
      </c>
      <c r="I215">
        <v>212</v>
      </c>
      <c r="J215">
        <v>205</v>
      </c>
      <c r="K215">
        <v>275</v>
      </c>
      <c r="L215">
        <v>7</v>
      </c>
      <c r="M215">
        <v>0</v>
      </c>
      <c r="N215">
        <v>0</v>
      </c>
    </row>
    <row r="216" spans="1:14" x14ac:dyDescent="0.25">
      <c r="A216" s="4" t="s">
        <v>186</v>
      </c>
      <c r="B216" s="4" t="s">
        <v>31</v>
      </c>
      <c r="C216">
        <v>0</v>
      </c>
      <c r="D216">
        <v>26</v>
      </c>
      <c r="E216">
        <v>37</v>
      </c>
      <c r="F216">
        <v>0</v>
      </c>
      <c r="G216">
        <v>2</v>
      </c>
      <c r="H216">
        <v>21</v>
      </c>
      <c r="I216">
        <v>23</v>
      </c>
      <c r="J216">
        <v>4</v>
      </c>
      <c r="K216">
        <v>48</v>
      </c>
      <c r="L216">
        <v>0</v>
      </c>
      <c r="M216">
        <v>0</v>
      </c>
      <c r="N216">
        <v>0</v>
      </c>
    </row>
    <row r="217" spans="1:14" x14ac:dyDescent="0.25">
      <c r="A217" s="4" t="s">
        <v>186</v>
      </c>
      <c r="B217" s="4" t="s">
        <v>32</v>
      </c>
      <c r="C217">
        <v>0</v>
      </c>
      <c r="D217">
        <v>0</v>
      </c>
      <c r="E217">
        <v>0</v>
      </c>
      <c r="F217">
        <v>0</v>
      </c>
      <c r="G217">
        <v>0</v>
      </c>
      <c r="H217">
        <v>0</v>
      </c>
      <c r="I217">
        <v>0</v>
      </c>
      <c r="J217">
        <v>0</v>
      </c>
      <c r="K217">
        <v>0</v>
      </c>
      <c r="L217">
        <v>0</v>
      </c>
      <c r="M217">
        <v>0</v>
      </c>
      <c r="N217">
        <v>0</v>
      </c>
    </row>
    <row r="218" spans="1:14" x14ac:dyDescent="0.25">
      <c r="A218" s="4" t="s">
        <v>186</v>
      </c>
      <c r="B218" s="4" t="s">
        <v>33</v>
      </c>
      <c r="C218" s="4">
        <v>0</v>
      </c>
      <c r="D218" s="4">
        <v>0</v>
      </c>
      <c r="E218" s="4">
        <v>0</v>
      </c>
      <c r="F218" s="4">
        <v>0</v>
      </c>
      <c r="G218" s="4">
        <v>0</v>
      </c>
      <c r="H218" s="4">
        <v>0</v>
      </c>
      <c r="I218" s="4">
        <v>0</v>
      </c>
      <c r="J218" s="4">
        <v>0</v>
      </c>
      <c r="K218" s="4">
        <v>0</v>
      </c>
      <c r="L218" s="4">
        <v>0</v>
      </c>
      <c r="M218" s="4">
        <v>0</v>
      </c>
      <c r="N218" s="4">
        <v>0</v>
      </c>
    </row>
    <row r="219" spans="1:14" x14ac:dyDescent="0.25">
      <c r="A219" s="4" t="s">
        <v>186</v>
      </c>
      <c r="B219" s="4" t="s">
        <v>34</v>
      </c>
      <c r="C219">
        <v>0</v>
      </c>
      <c r="D219">
        <v>0</v>
      </c>
      <c r="E219">
        <v>0</v>
      </c>
      <c r="F219">
        <v>0</v>
      </c>
      <c r="G219">
        <v>0</v>
      </c>
      <c r="H219">
        <v>0</v>
      </c>
      <c r="I219">
        <v>0</v>
      </c>
      <c r="J219">
        <v>0</v>
      </c>
      <c r="K219">
        <v>0</v>
      </c>
      <c r="L219">
        <v>0</v>
      </c>
      <c r="M219">
        <v>0</v>
      </c>
      <c r="N219">
        <v>0</v>
      </c>
    </row>
    <row r="220" spans="1:14" x14ac:dyDescent="0.25">
      <c r="A220" s="4" t="s">
        <v>186</v>
      </c>
      <c r="B220" s="4" t="s">
        <v>35</v>
      </c>
      <c r="C220">
        <v>0</v>
      </c>
      <c r="D220">
        <v>0</v>
      </c>
      <c r="E220">
        <v>0</v>
      </c>
      <c r="F220">
        <v>0</v>
      </c>
      <c r="G220">
        <v>0</v>
      </c>
      <c r="H220">
        <v>0</v>
      </c>
      <c r="I220">
        <v>0</v>
      </c>
      <c r="J220">
        <v>0</v>
      </c>
      <c r="K220">
        <v>0</v>
      </c>
      <c r="L220">
        <v>0</v>
      </c>
      <c r="M220">
        <v>0</v>
      </c>
      <c r="N220">
        <v>0</v>
      </c>
    </row>
    <row r="221" spans="1:14" x14ac:dyDescent="0.25">
      <c r="A221" s="4" t="s">
        <v>186</v>
      </c>
      <c r="B221" s="4" t="s">
        <v>36</v>
      </c>
      <c r="C221">
        <v>0</v>
      </c>
      <c r="D221">
        <v>0</v>
      </c>
      <c r="E221">
        <v>0</v>
      </c>
      <c r="F221">
        <v>0</v>
      </c>
      <c r="G221">
        <v>0</v>
      </c>
      <c r="H221">
        <v>0</v>
      </c>
      <c r="I221">
        <v>0</v>
      </c>
      <c r="J221">
        <v>0</v>
      </c>
      <c r="K221">
        <v>0</v>
      </c>
      <c r="L221">
        <v>0</v>
      </c>
      <c r="M221">
        <v>0</v>
      </c>
      <c r="N221">
        <v>0</v>
      </c>
    </row>
    <row r="222" spans="1:14" x14ac:dyDescent="0.25">
      <c r="A222" s="4" t="s">
        <v>186</v>
      </c>
      <c r="B222" s="4" t="s">
        <v>249</v>
      </c>
      <c r="C222" s="4" t="s">
        <v>250</v>
      </c>
      <c r="D222">
        <v>14</v>
      </c>
      <c r="E222" s="4">
        <v>14</v>
      </c>
      <c r="F222">
        <v>13</v>
      </c>
      <c r="G222">
        <v>12</v>
      </c>
      <c r="H222" s="4" t="s">
        <v>377</v>
      </c>
      <c r="I222" s="4" t="s">
        <v>250</v>
      </c>
      <c r="J222" s="4">
        <v>12</v>
      </c>
      <c r="K222" s="4">
        <v>14</v>
      </c>
      <c r="L222" s="4" t="s">
        <v>378</v>
      </c>
      <c r="M222">
        <v>13</v>
      </c>
      <c r="N222" s="4" t="s">
        <v>250</v>
      </c>
    </row>
    <row r="223" spans="1:14" x14ac:dyDescent="0.25">
      <c r="A223" s="4" t="s">
        <v>186</v>
      </c>
      <c r="B223" s="4" t="s">
        <v>194</v>
      </c>
      <c r="C223">
        <v>1</v>
      </c>
      <c r="D223">
        <v>1</v>
      </c>
      <c r="E223">
        <v>1</v>
      </c>
      <c r="F223">
        <v>1</v>
      </c>
      <c r="G223">
        <v>1</v>
      </c>
      <c r="H223">
        <v>1</v>
      </c>
      <c r="I223">
        <v>1</v>
      </c>
      <c r="J223">
        <v>1</v>
      </c>
      <c r="K223">
        <v>1</v>
      </c>
      <c r="L223">
        <v>1</v>
      </c>
      <c r="M223">
        <v>1</v>
      </c>
      <c r="N223">
        <v>1</v>
      </c>
    </row>
    <row r="224" spans="1:14" x14ac:dyDescent="0.25">
      <c r="A224" s="4" t="s">
        <v>256</v>
      </c>
    </row>
    <row r="225" spans="1:14" x14ac:dyDescent="0.25">
      <c r="A225" s="4" t="s">
        <v>251</v>
      </c>
    </row>
    <row r="226" spans="1:14" x14ac:dyDescent="0.25">
      <c r="A226" s="4" t="s">
        <v>186</v>
      </c>
      <c r="B226" s="4" t="s">
        <v>0</v>
      </c>
      <c r="C226" s="4" t="s">
        <v>1</v>
      </c>
      <c r="D226" s="4" t="s">
        <v>2</v>
      </c>
      <c r="E226" s="4" t="s">
        <v>3</v>
      </c>
      <c r="F226" s="4" t="s">
        <v>4</v>
      </c>
      <c r="G226" s="4" t="s">
        <v>5</v>
      </c>
      <c r="H226" s="4" t="s">
        <v>6</v>
      </c>
      <c r="I226" s="4" t="s">
        <v>7</v>
      </c>
      <c r="J226" s="4" t="s">
        <v>8</v>
      </c>
      <c r="K226" s="4" t="s">
        <v>9</v>
      </c>
      <c r="L226" s="4" t="s">
        <v>10</v>
      </c>
      <c r="M226" s="4" t="s">
        <v>11</v>
      </c>
      <c r="N226" s="4" t="s">
        <v>12</v>
      </c>
    </row>
    <row r="227" spans="1:14" x14ac:dyDescent="0.25">
      <c r="A227" s="4" t="s">
        <v>186</v>
      </c>
      <c r="B227" s="4" t="s">
        <v>252</v>
      </c>
      <c r="C227">
        <v>23.7</v>
      </c>
      <c r="D227">
        <v>23</v>
      </c>
      <c r="E227">
        <v>22.8</v>
      </c>
      <c r="F227">
        <v>23</v>
      </c>
      <c r="G227">
        <v>24</v>
      </c>
      <c r="H227">
        <v>25</v>
      </c>
      <c r="I227">
        <v>26</v>
      </c>
      <c r="J227">
        <v>26.8</v>
      </c>
      <c r="K227">
        <v>27</v>
      </c>
      <c r="L227">
        <v>26.6</v>
      </c>
      <c r="M227">
        <v>25.8</v>
      </c>
      <c r="N227">
        <v>24.8</v>
      </c>
    </row>
    <row r="228" spans="1:14" x14ac:dyDescent="0.25">
      <c r="A228" s="4" t="s">
        <v>186</v>
      </c>
      <c r="B228" s="4" t="s">
        <v>253</v>
      </c>
      <c r="C228">
        <v>24.4</v>
      </c>
      <c r="D228">
        <v>23.7</v>
      </c>
      <c r="E228">
        <v>23.4</v>
      </c>
      <c r="F228">
        <v>23.4</v>
      </c>
      <c r="G228">
        <v>23.9</v>
      </c>
      <c r="H228">
        <v>24.6</v>
      </c>
      <c r="I228">
        <v>25.4</v>
      </c>
      <c r="J228">
        <v>26.1</v>
      </c>
      <c r="K228">
        <v>26.4</v>
      </c>
      <c r="L228">
        <v>26.4</v>
      </c>
      <c r="M228">
        <v>25.9</v>
      </c>
      <c r="N228">
        <v>25.2</v>
      </c>
    </row>
    <row r="229" spans="1:14" x14ac:dyDescent="0.25">
      <c r="A229" s="4" t="s">
        <v>186</v>
      </c>
      <c r="B229" s="4" t="s">
        <v>254</v>
      </c>
      <c r="C229" s="4">
        <v>24.8</v>
      </c>
      <c r="D229" s="4">
        <v>24.3</v>
      </c>
      <c r="E229" s="4">
        <v>23.9</v>
      </c>
      <c r="F229" s="4">
        <v>23.9</v>
      </c>
      <c r="G229" s="4">
        <v>24</v>
      </c>
      <c r="H229" s="4">
        <v>24.5</v>
      </c>
      <c r="I229" s="4">
        <v>25</v>
      </c>
      <c r="J229" s="4">
        <v>25.5</v>
      </c>
      <c r="K229" s="4">
        <v>25.9</v>
      </c>
      <c r="L229" s="4">
        <v>25.9</v>
      </c>
      <c r="M229" s="4">
        <v>25.7</v>
      </c>
      <c r="N229" s="4">
        <v>25.3</v>
      </c>
    </row>
    <row r="230" spans="1:14" x14ac:dyDescent="0.25">
      <c r="A230" s="4" t="s">
        <v>186</v>
      </c>
      <c r="B230" s="4" t="s">
        <v>260</v>
      </c>
      <c r="C230">
        <v>810</v>
      </c>
      <c r="D230">
        <v>635</v>
      </c>
      <c r="E230">
        <v>563</v>
      </c>
      <c r="F230">
        <v>252</v>
      </c>
      <c r="G230">
        <v>54</v>
      </c>
      <c r="H230">
        <v>4</v>
      </c>
      <c r="I230">
        <v>0</v>
      </c>
      <c r="J230">
        <v>3</v>
      </c>
      <c r="K230">
        <v>75</v>
      </c>
      <c r="L230">
        <v>196</v>
      </c>
      <c r="M230">
        <v>563</v>
      </c>
      <c r="N230">
        <v>736</v>
      </c>
    </row>
    <row r="231" spans="1:14" x14ac:dyDescent="0.25">
      <c r="A231" s="4" t="s">
        <v>255</v>
      </c>
      <c r="B231" s="4" t="s">
        <v>261</v>
      </c>
      <c r="C231">
        <v>1058</v>
      </c>
      <c r="D231">
        <v>859</v>
      </c>
      <c r="E231">
        <v>811</v>
      </c>
      <c r="F231">
        <v>489</v>
      </c>
      <c r="G231">
        <v>222</v>
      </c>
      <c r="H231">
        <v>95</v>
      </c>
      <c r="I231">
        <v>45</v>
      </c>
      <c r="J231">
        <v>108</v>
      </c>
      <c r="K231">
        <v>278</v>
      </c>
      <c r="L231">
        <v>439</v>
      </c>
      <c r="M231">
        <v>803</v>
      </c>
      <c r="N231">
        <v>984</v>
      </c>
    </row>
    <row r="232" spans="1:14" x14ac:dyDescent="0.25">
      <c r="A232" s="4" t="s">
        <v>256</v>
      </c>
    </row>
    <row r="233" spans="1:14" x14ac:dyDescent="0.25">
      <c r="A233" s="4" t="s">
        <v>257</v>
      </c>
      <c r="B233" s="4" t="s">
        <v>262</v>
      </c>
      <c r="C233">
        <v>0</v>
      </c>
      <c r="D233">
        <v>0</v>
      </c>
      <c r="E233">
        <v>0</v>
      </c>
      <c r="F233">
        <v>4</v>
      </c>
      <c r="G233">
        <v>102</v>
      </c>
      <c r="H233">
        <v>158</v>
      </c>
      <c r="I233">
        <v>229</v>
      </c>
      <c r="J233">
        <v>151</v>
      </c>
      <c r="K233">
        <v>38</v>
      </c>
      <c r="L233">
        <v>4</v>
      </c>
      <c r="M233">
        <v>0</v>
      </c>
      <c r="N233">
        <v>0</v>
      </c>
    </row>
    <row r="234" spans="1:14" x14ac:dyDescent="0.25">
      <c r="A234" s="4" t="s">
        <v>258</v>
      </c>
      <c r="B234" s="4" t="s">
        <v>263</v>
      </c>
      <c r="C234">
        <v>0</v>
      </c>
      <c r="D234">
        <v>0</v>
      </c>
      <c r="E234">
        <v>0</v>
      </c>
      <c r="F234">
        <v>0</v>
      </c>
      <c r="G234">
        <v>22</v>
      </c>
      <c r="H234">
        <v>8</v>
      </c>
      <c r="I234">
        <v>26</v>
      </c>
      <c r="J234">
        <v>9</v>
      </c>
      <c r="K234">
        <v>0</v>
      </c>
      <c r="L234">
        <v>0</v>
      </c>
      <c r="M234">
        <v>0</v>
      </c>
      <c r="N234">
        <v>0</v>
      </c>
    </row>
    <row r="236" spans="1:14" x14ac:dyDescent="0.25">
      <c r="A236" s="4" t="s">
        <v>259</v>
      </c>
      <c r="B236" s="4" t="s">
        <v>264</v>
      </c>
      <c r="C236">
        <v>0</v>
      </c>
      <c r="D236">
        <v>0</v>
      </c>
      <c r="E236">
        <v>0</v>
      </c>
      <c r="F236">
        <v>3</v>
      </c>
      <c r="G236">
        <v>560</v>
      </c>
      <c r="H236">
        <v>406</v>
      </c>
      <c r="I236">
        <v>877</v>
      </c>
      <c r="J236">
        <v>440</v>
      </c>
      <c r="K236">
        <v>85</v>
      </c>
      <c r="L236">
        <v>3</v>
      </c>
      <c r="M236">
        <v>0</v>
      </c>
      <c r="N236">
        <v>0</v>
      </c>
    </row>
    <row r="237" spans="1:14" x14ac:dyDescent="0.25">
      <c r="A237" s="4" t="s">
        <v>186</v>
      </c>
      <c r="B237" s="4" t="s">
        <v>0</v>
      </c>
      <c r="C237" s="4" t="s">
        <v>1</v>
      </c>
      <c r="D237" s="4" t="s">
        <v>2</v>
      </c>
      <c r="E237" s="4" t="s">
        <v>3</v>
      </c>
      <c r="F237" s="4" t="s">
        <v>4</v>
      </c>
      <c r="G237" s="4" t="s">
        <v>5</v>
      </c>
      <c r="H237" s="4" t="s">
        <v>6</v>
      </c>
      <c r="I237" s="4" t="s">
        <v>7</v>
      </c>
      <c r="J237" s="4" t="s">
        <v>8</v>
      </c>
      <c r="K237" s="4" t="s">
        <v>9</v>
      </c>
      <c r="L237" s="4" t="s">
        <v>10</v>
      </c>
      <c r="M237" s="4" t="s">
        <v>11</v>
      </c>
      <c r="N237" s="4" t="s">
        <v>12</v>
      </c>
    </row>
    <row r="238" spans="1:14" x14ac:dyDescent="0.25">
      <c r="A238" s="4" t="s">
        <v>186</v>
      </c>
      <c r="B238" s="4" t="s">
        <v>260</v>
      </c>
      <c r="C238">
        <v>0</v>
      </c>
      <c r="D238">
        <v>0</v>
      </c>
      <c r="E238">
        <v>0</v>
      </c>
      <c r="F238">
        <v>0</v>
      </c>
      <c r="G238">
        <v>0</v>
      </c>
      <c r="H238">
        <v>0</v>
      </c>
      <c r="I238">
        <v>0</v>
      </c>
      <c r="J238">
        <v>0</v>
      </c>
      <c r="K238">
        <v>0</v>
      </c>
      <c r="L238">
        <v>0</v>
      </c>
      <c r="M238">
        <v>0</v>
      </c>
      <c r="N238">
        <v>0</v>
      </c>
    </row>
    <row r="239" spans="1:14" x14ac:dyDescent="0.25">
      <c r="A239" s="4" t="s">
        <v>186</v>
      </c>
      <c r="B239" s="4" t="s">
        <v>261</v>
      </c>
      <c r="C239">
        <v>0</v>
      </c>
      <c r="D239">
        <v>0</v>
      </c>
      <c r="E239">
        <v>0</v>
      </c>
      <c r="F239">
        <v>0</v>
      </c>
      <c r="G239">
        <v>0</v>
      </c>
      <c r="H239">
        <v>0</v>
      </c>
      <c r="I239">
        <v>0</v>
      </c>
      <c r="J239">
        <v>0</v>
      </c>
      <c r="K239">
        <v>0</v>
      </c>
      <c r="L239">
        <v>0</v>
      </c>
      <c r="M239">
        <v>0</v>
      </c>
      <c r="N239">
        <v>0</v>
      </c>
    </row>
    <row r="240" spans="1:14" x14ac:dyDescent="0.25">
      <c r="A240" s="4" t="s">
        <v>301</v>
      </c>
    </row>
    <row r="241" spans="1:14" x14ac:dyDescent="0.25">
      <c r="A241" s="4" t="s">
        <v>186</v>
      </c>
      <c r="B241" s="4" t="s">
        <v>262</v>
      </c>
      <c r="C241">
        <v>387</v>
      </c>
      <c r="D241">
        <v>359</v>
      </c>
      <c r="E241">
        <v>408</v>
      </c>
      <c r="F241">
        <v>413</v>
      </c>
      <c r="G241">
        <v>472</v>
      </c>
      <c r="H241">
        <v>476</v>
      </c>
      <c r="I241">
        <v>524</v>
      </c>
      <c r="J241">
        <v>529</v>
      </c>
      <c r="K241">
        <v>506</v>
      </c>
      <c r="L241">
        <v>503</v>
      </c>
      <c r="M241">
        <v>443</v>
      </c>
      <c r="N241">
        <v>424</v>
      </c>
    </row>
    <row r="242" spans="1:14" x14ac:dyDescent="0.25">
      <c r="A242" s="4" t="s">
        <v>186</v>
      </c>
      <c r="B242" s="4" t="s">
        <v>263</v>
      </c>
      <c r="C242">
        <v>139</v>
      </c>
      <c r="D242">
        <v>135</v>
      </c>
      <c r="E242">
        <v>160</v>
      </c>
      <c r="F242">
        <v>173</v>
      </c>
      <c r="G242">
        <v>224</v>
      </c>
      <c r="H242">
        <v>236</v>
      </c>
      <c r="I242">
        <v>276</v>
      </c>
      <c r="J242">
        <v>281</v>
      </c>
      <c r="K242">
        <v>266</v>
      </c>
      <c r="L242">
        <v>255</v>
      </c>
      <c r="M242">
        <v>203</v>
      </c>
      <c r="N242">
        <v>176</v>
      </c>
    </row>
    <row r="243" spans="1:14" x14ac:dyDescent="0.25">
      <c r="A243" s="4" t="s">
        <v>302</v>
      </c>
    </row>
    <row r="244" spans="1:14" x14ac:dyDescent="0.25">
      <c r="A244" s="4" t="s">
        <v>186</v>
      </c>
      <c r="B244" s="4" t="s">
        <v>264</v>
      </c>
      <c r="C244">
        <v>1999</v>
      </c>
      <c r="D244">
        <v>2096</v>
      </c>
      <c r="E244">
        <v>2574</v>
      </c>
      <c r="F244">
        <v>2719</v>
      </c>
      <c r="G244">
        <v>3898</v>
      </c>
      <c r="H244">
        <v>4224</v>
      </c>
      <c r="I244">
        <v>5135</v>
      </c>
      <c r="J244">
        <v>5256</v>
      </c>
      <c r="K244">
        <v>4949</v>
      </c>
      <c r="L244">
        <v>4626</v>
      </c>
      <c r="M244">
        <v>3482</v>
      </c>
      <c r="N244">
        <v>2801</v>
      </c>
    </row>
    <row r="245" spans="1:14" x14ac:dyDescent="0.25">
      <c r="A245" s="4" t="s">
        <v>186</v>
      </c>
      <c r="B245" s="4" t="s">
        <v>265</v>
      </c>
      <c r="C245">
        <v>685</v>
      </c>
      <c r="D245">
        <v>775</v>
      </c>
      <c r="E245">
        <v>1032</v>
      </c>
      <c r="F245">
        <v>1061</v>
      </c>
      <c r="G245">
        <v>1855</v>
      </c>
      <c r="H245">
        <v>2096</v>
      </c>
      <c r="I245">
        <v>2904</v>
      </c>
      <c r="J245">
        <v>3048</v>
      </c>
      <c r="K245">
        <v>2792</v>
      </c>
      <c r="L245">
        <v>2556</v>
      </c>
      <c r="M245">
        <v>1597</v>
      </c>
      <c r="N245">
        <v>1052</v>
      </c>
    </row>
    <row r="246" spans="1:14" x14ac:dyDescent="0.25">
      <c r="A246" s="4" t="s">
        <v>186</v>
      </c>
      <c r="B246" s="4" t="s">
        <v>266</v>
      </c>
      <c r="C246">
        <v>55</v>
      </c>
      <c r="D246">
        <v>43</v>
      </c>
      <c r="E246">
        <v>99</v>
      </c>
      <c r="F246">
        <v>124</v>
      </c>
      <c r="G246">
        <v>384</v>
      </c>
      <c r="H246">
        <v>342</v>
      </c>
      <c r="I246">
        <v>760</v>
      </c>
      <c r="J246">
        <v>933</v>
      </c>
      <c r="K246">
        <v>653</v>
      </c>
      <c r="L246">
        <v>748</v>
      </c>
      <c r="M246">
        <v>264</v>
      </c>
      <c r="N246">
        <v>89</v>
      </c>
    </row>
    <row r="247" spans="1:14" x14ac:dyDescent="0.25">
      <c r="A247" s="4" t="s">
        <v>303</v>
      </c>
    </row>
    <row r="248" spans="1:14" x14ac:dyDescent="0.25">
      <c r="A248" s="4" t="s">
        <v>379</v>
      </c>
    </row>
    <row r="249" spans="1:14" x14ac:dyDescent="0.25">
      <c r="A249" s="4" t="s">
        <v>380</v>
      </c>
    </row>
    <row r="251" spans="1:14" x14ac:dyDescent="0.25">
      <c r="A251" s="4" t="s">
        <v>381</v>
      </c>
    </row>
    <row r="252" spans="1:14" x14ac:dyDescent="0.25">
      <c r="A252" s="4" t="s">
        <v>382</v>
      </c>
    </row>
    <row r="253" spans="1:14" x14ac:dyDescent="0.25">
      <c r="A253" s="4" t="s">
        <v>269</v>
      </c>
    </row>
    <row r="254" spans="1:14" x14ac:dyDescent="0.25">
      <c r="A254" s="4" t="s">
        <v>383</v>
      </c>
    </row>
    <row r="255" spans="1:14" x14ac:dyDescent="0.25">
      <c r="A255" s="4" t="s">
        <v>384</v>
      </c>
    </row>
    <row r="256" spans="1:14" x14ac:dyDescent="0.25">
      <c r="A256" s="4" t="s">
        <v>267</v>
      </c>
    </row>
    <row r="257" spans="1:1" x14ac:dyDescent="0.25">
      <c r="A257" s="4" t="s">
        <v>268</v>
      </c>
    </row>
    <row r="258" spans="1:1" x14ac:dyDescent="0.25">
      <c r="A258" s="4" t="s">
        <v>268</v>
      </c>
    </row>
    <row r="259" spans="1:1" x14ac:dyDescent="0.25">
      <c r="A259" s="4" t="s">
        <v>385</v>
      </c>
    </row>
    <row r="260" spans="1:1" x14ac:dyDescent="0.25">
      <c r="A260" s="4" t="s">
        <v>386</v>
      </c>
    </row>
    <row r="261" spans="1:1" x14ac:dyDescent="0.25">
      <c r="A261" s="4" t="s">
        <v>269</v>
      </c>
    </row>
    <row r="262" spans="1:1" x14ac:dyDescent="0.25">
      <c r="A262" s="4" t="s">
        <v>268</v>
      </c>
    </row>
    <row r="263" spans="1:1" x14ac:dyDescent="0.25">
      <c r="A263" s="4" t="s">
        <v>268</v>
      </c>
    </row>
    <row r="264" spans="1:1" x14ac:dyDescent="0.25">
      <c r="A264" s="4" t="s">
        <v>270</v>
      </c>
    </row>
    <row r="265" spans="1:1" x14ac:dyDescent="0.25">
      <c r="A265" s="4" t="s">
        <v>387</v>
      </c>
    </row>
    <row r="266" spans="1:1" x14ac:dyDescent="0.25">
      <c r="A266" s="4" t="s">
        <v>388</v>
      </c>
    </row>
    <row r="267" spans="1:1" x14ac:dyDescent="0.25">
      <c r="A267" s="4" t="s">
        <v>389</v>
      </c>
    </row>
    <row r="268" spans="1:1" x14ac:dyDescent="0.25">
      <c r="A268" s="4" t="s">
        <v>390</v>
      </c>
    </row>
    <row r="269" spans="1:1" x14ac:dyDescent="0.25">
      <c r="A269" s="4" t="s">
        <v>388</v>
      </c>
    </row>
    <row r="270" spans="1:1" x14ac:dyDescent="0.25">
      <c r="A270" s="4" t="s">
        <v>391</v>
      </c>
    </row>
    <row r="271" spans="1:1" x14ac:dyDescent="0.25">
      <c r="A271" s="4" t="s">
        <v>392</v>
      </c>
    </row>
    <row r="272" spans="1:1" x14ac:dyDescent="0.25">
      <c r="A272" s="4" t="s">
        <v>393</v>
      </c>
    </row>
    <row r="273" spans="1:1" x14ac:dyDescent="0.25">
      <c r="A273" s="4" t="s">
        <v>394</v>
      </c>
    </row>
    <row r="274" spans="1:1" x14ac:dyDescent="0.25">
      <c r="A274" s="4" t="s">
        <v>395</v>
      </c>
    </row>
    <row r="275" spans="1:1" x14ac:dyDescent="0.25">
      <c r="A275" s="4" t="s">
        <v>396</v>
      </c>
    </row>
    <row r="276" spans="1:1" x14ac:dyDescent="0.25">
      <c r="A276" s="4" t="s">
        <v>320</v>
      </c>
    </row>
    <row r="277" spans="1:1" x14ac:dyDescent="0.25">
      <c r="A277" s="4" t="s">
        <v>304</v>
      </c>
    </row>
    <row r="278" spans="1:1" x14ac:dyDescent="0.25">
      <c r="A278" s="4" t="s">
        <v>321</v>
      </c>
    </row>
    <row r="279" spans="1:1" x14ac:dyDescent="0.25">
      <c r="A279" s="4" t="s">
        <v>272</v>
      </c>
    </row>
    <row r="280" spans="1:1" x14ac:dyDescent="0.25">
      <c r="A280" s="4" t="s">
        <v>322</v>
      </c>
    </row>
    <row r="281" spans="1:1" x14ac:dyDescent="0.25">
      <c r="A281" s="4" t="s">
        <v>305</v>
      </c>
    </row>
    <row r="282" spans="1:1" x14ac:dyDescent="0.25">
      <c r="A282" s="4" t="s">
        <v>323</v>
      </c>
    </row>
    <row r="283" spans="1:1" x14ac:dyDescent="0.25">
      <c r="A283" s="4" t="s">
        <v>274</v>
      </c>
    </row>
    <row r="284" spans="1:1" x14ac:dyDescent="0.25">
      <c r="A284" s="4" t="s">
        <v>324</v>
      </c>
    </row>
    <row r="285" spans="1:1" x14ac:dyDescent="0.25">
      <c r="A285" s="4" t="s">
        <v>306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285"/>
  <sheetViews>
    <sheetView topLeftCell="A181" workbookViewId="0">
      <selection activeCell="H209" sqref="H209"/>
    </sheetView>
  </sheetViews>
  <sheetFormatPr defaultRowHeight="15" x14ac:dyDescent="0.25"/>
  <sheetData>
    <row r="1" spans="1:1" x14ac:dyDescent="0.25">
      <c r="A1" s="4" t="s">
        <v>344</v>
      </c>
    </row>
    <row r="2" spans="1:1" x14ac:dyDescent="0.25">
      <c r="A2" s="4" t="s">
        <v>345</v>
      </c>
    </row>
    <row r="3" spans="1:1" x14ac:dyDescent="0.25">
      <c r="A3" s="4" t="s">
        <v>346</v>
      </c>
    </row>
    <row r="4" spans="1:1" x14ac:dyDescent="0.25">
      <c r="A4" s="4" t="s">
        <v>347</v>
      </c>
    </row>
    <row r="5" spans="1:1" x14ac:dyDescent="0.25">
      <c r="A5" s="4" t="s">
        <v>348</v>
      </c>
    </row>
    <row r="6" spans="1:1" x14ac:dyDescent="0.25">
      <c r="A6" s="4" t="s">
        <v>107</v>
      </c>
    </row>
    <row r="8" spans="1:1" x14ac:dyDescent="0.25">
      <c r="A8" s="4" t="s">
        <v>349</v>
      </c>
    </row>
    <row r="10" spans="1:1" x14ac:dyDescent="0.25">
      <c r="A10" s="4" t="s">
        <v>108</v>
      </c>
    </row>
    <row r="12" spans="1:1" x14ac:dyDescent="0.25">
      <c r="A12" s="4" t="s">
        <v>109</v>
      </c>
    </row>
    <row r="13" spans="1:1" x14ac:dyDescent="0.25">
      <c r="A13" s="4" t="s">
        <v>110</v>
      </c>
    </row>
    <row r="14" spans="1:1" x14ac:dyDescent="0.25">
      <c r="A14" s="4" t="s">
        <v>111</v>
      </c>
    </row>
    <row r="15" spans="1:1" x14ac:dyDescent="0.25">
      <c r="A15" s="4" t="s">
        <v>112</v>
      </c>
    </row>
    <row r="17" spans="1:34" x14ac:dyDescent="0.25">
      <c r="A17" s="4" t="s">
        <v>113</v>
      </c>
      <c r="B17" s="4" t="s">
        <v>114</v>
      </c>
      <c r="C17" s="4" t="s">
        <v>115</v>
      </c>
      <c r="D17" s="4" t="s">
        <v>116</v>
      </c>
      <c r="E17" s="4" t="s">
        <v>117</v>
      </c>
      <c r="F17" s="4" t="s">
        <v>118</v>
      </c>
      <c r="G17" s="4" t="s">
        <v>119</v>
      </c>
      <c r="H17" s="4" t="s">
        <v>120</v>
      </c>
      <c r="I17" s="4" t="s">
        <v>121</v>
      </c>
      <c r="J17" s="4" t="s">
        <v>122</v>
      </c>
      <c r="K17" s="4" t="s">
        <v>123</v>
      </c>
      <c r="L17" s="4" t="s">
        <v>124</v>
      </c>
      <c r="M17" s="4" t="s">
        <v>125</v>
      </c>
      <c r="N17" s="4" t="s">
        <v>126</v>
      </c>
      <c r="O17" s="4" t="s">
        <v>127</v>
      </c>
      <c r="P17" s="4" t="s">
        <v>128</v>
      </c>
      <c r="Q17" s="4" t="s">
        <v>129</v>
      </c>
    </row>
    <row r="18" spans="1:34" x14ac:dyDescent="0.25">
      <c r="A18" s="4" t="s">
        <v>113</v>
      </c>
      <c r="B18" s="4" t="s">
        <v>130</v>
      </c>
      <c r="C18" s="4" t="s">
        <v>131</v>
      </c>
      <c r="D18" s="4" t="s">
        <v>132</v>
      </c>
      <c r="E18" s="4" t="s">
        <v>132</v>
      </c>
      <c r="F18" s="4" t="s">
        <v>132</v>
      </c>
      <c r="G18" s="4" t="s">
        <v>131</v>
      </c>
      <c r="H18" s="4" t="s">
        <v>132</v>
      </c>
      <c r="I18" s="4" t="s">
        <v>132</v>
      </c>
      <c r="J18" s="4" t="s">
        <v>131</v>
      </c>
      <c r="K18" s="4" t="s">
        <v>132</v>
      </c>
      <c r="L18" s="4" t="s">
        <v>133</v>
      </c>
      <c r="M18" s="4" t="s">
        <v>132</v>
      </c>
      <c r="N18" s="4" t="s">
        <v>133</v>
      </c>
      <c r="O18" s="4" t="s">
        <v>132</v>
      </c>
      <c r="P18" s="4" t="s">
        <v>133</v>
      </c>
      <c r="Q18" s="4" t="s">
        <v>134</v>
      </c>
    </row>
    <row r="19" spans="1:34" x14ac:dyDescent="0.25">
      <c r="A19" s="4" t="s">
        <v>113</v>
      </c>
      <c r="B19" s="4" t="s">
        <v>60</v>
      </c>
      <c r="C19">
        <v>2</v>
      </c>
      <c r="D19">
        <v>16.2</v>
      </c>
      <c r="E19">
        <v>17.399999999999999</v>
      </c>
      <c r="F19">
        <v>10.8</v>
      </c>
      <c r="G19">
        <v>8.1</v>
      </c>
      <c r="H19">
        <v>20.8</v>
      </c>
      <c r="I19">
        <v>11.9</v>
      </c>
      <c r="J19">
        <v>8.6999999999999993</v>
      </c>
      <c r="K19">
        <v>21</v>
      </c>
      <c r="L19">
        <v>10.9</v>
      </c>
      <c r="M19">
        <v>24.3</v>
      </c>
      <c r="N19">
        <v>9.9</v>
      </c>
      <c r="O19">
        <v>24.1</v>
      </c>
      <c r="P19">
        <v>1.9</v>
      </c>
      <c r="Q19">
        <v>320</v>
      </c>
    </row>
    <row r="21" spans="1:34" x14ac:dyDescent="0.25">
      <c r="A21" s="4" t="s">
        <v>113</v>
      </c>
      <c r="B21" s="4" t="s">
        <v>114</v>
      </c>
      <c r="C21" s="4" t="s">
        <v>135</v>
      </c>
      <c r="D21" s="4" t="s">
        <v>136</v>
      </c>
      <c r="E21" s="4" t="s">
        <v>137</v>
      </c>
      <c r="F21" s="4" t="s">
        <v>138</v>
      </c>
      <c r="G21" s="4" t="s">
        <v>139</v>
      </c>
      <c r="H21" s="4" t="s">
        <v>140</v>
      </c>
      <c r="I21" s="4" t="s">
        <v>141</v>
      </c>
      <c r="J21" s="4" t="s">
        <v>142</v>
      </c>
      <c r="K21" s="4" t="s">
        <v>143</v>
      </c>
      <c r="L21" s="4" t="s">
        <v>144</v>
      </c>
      <c r="M21" s="4" t="s">
        <v>145</v>
      </c>
      <c r="N21" s="4" t="s">
        <v>146</v>
      </c>
      <c r="O21" s="4" t="s">
        <v>147</v>
      </c>
      <c r="P21" s="4" t="s">
        <v>148</v>
      </c>
      <c r="Q21" s="4" t="s">
        <v>149</v>
      </c>
      <c r="R21" s="4" t="s">
        <v>150</v>
      </c>
      <c r="S21" s="4" t="s">
        <v>151</v>
      </c>
      <c r="T21" s="4" t="s">
        <v>152</v>
      </c>
      <c r="U21" s="4" t="s">
        <v>153</v>
      </c>
      <c r="V21" s="4" t="s">
        <v>154</v>
      </c>
      <c r="W21" s="4" t="s">
        <v>155</v>
      </c>
      <c r="X21" s="4" t="s">
        <v>156</v>
      </c>
      <c r="Y21" s="4" t="s">
        <v>157</v>
      </c>
      <c r="Z21" s="4" t="s">
        <v>158</v>
      </c>
      <c r="AA21" s="4" t="s">
        <v>159</v>
      </c>
      <c r="AB21" s="4" t="s">
        <v>160</v>
      </c>
      <c r="AC21" s="4" t="s">
        <v>161</v>
      </c>
      <c r="AD21" s="4" t="s">
        <v>162</v>
      </c>
      <c r="AE21" s="4" t="s">
        <v>163</v>
      </c>
      <c r="AF21" s="4" t="s">
        <v>164</v>
      </c>
      <c r="AG21" s="4" t="s">
        <v>165</v>
      </c>
      <c r="AH21" s="4" t="s">
        <v>166</v>
      </c>
    </row>
    <row r="22" spans="1:34" x14ac:dyDescent="0.25">
      <c r="A22" s="4" t="s">
        <v>113</v>
      </c>
      <c r="B22" s="4" t="s">
        <v>130</v>
      </c>
      <c r="C22" s="4" t="s">
        <v>131</v>
      </c>
      <c r="D22" s="4" t="s">
        <v>132</v>
      </c>
      <c r="E22" s="4" t="s">
        <v>132</v>
      </c>
      <c r="F22" s="4" t="s">
        <v>132</v>
      </c>
      <c r="G22" s="4" t="s">
        <v>132</v>
      </c>
      <c r="H22" s="4" t="s">
        <v>132</v>
      </c>
      <c r="I22" s="4" t="s">
        <v>132</v>
      </c>
      <c r="J22" s="4" t="s">
        <v>132</v>
      </c>
      <c r="K22" s="4" t="s">
        <v>132</v>
      </c>
      <c r="L22" s="4" t="s">
        <v>132</v>
      </c>
      <c r="M22" s="4" t="s">
        <v>132</v>
      </c>
      <c r="N22" s="4" t="s">
        <v>132</v>
      </c>
      <c r="O22" s="4" t="s">
        <v>132</v>
      </c>
      <c r="P22" s="4" t="s">
        <v>132</v>
      </c>
      <c r="Q22" s="4" t="s">
        <v>133</v>
      </c>
      <c r="R22" s="4" t="s">
        <v>134</v>
      </c>
      <c r="S22" s="4" t="s">
        <v>132</v>
      </c>
      <c r="T22" s="4" t="s">
        <v>131</v>
      </c>
      <c r="U22" s="4" t="s">
        <v>132</v>
      </c>
      <c r="V22" s="4" t="s">
        <v>132</v>
      </c>
      <c r="W22" s="4" t="s">
        <v>131</v>
      </c>
      <c r="X22" s="4" t="s">
        <v>132</v>
      </c>
      <c r="Y22" s="4" t="s">
        <v>132</v>
      </c>
      <c r="Z22" s="4" t="s">
        <v>131</v>
      </c>
      <c r="AA22" s="4" t="s">
        <v>132</v>
      </c>
      <c r="AB22" s="4" t="s">
        <v>167</v>
      </c>
      <c r="AC22" s="4" t="s">
        <v>132</v>
      </c>
      <c r="AD22" s="4" t="s">
        <v>167</v>
      </c>
      <c r="AE22" s="4" t="s">
        <v>132</v>
      </c>
      <c r="AF22" s="4" t="s">
        <v>167</v>
      </c>
      <c r="AG22" s="4" t="s">
        <v>132</v>
      </c>
      <c r="AH22" s="4" t="s">
        <v>131</v>
      </c>
    </row>
    <row r="23" spans="1:34" x14ac:dyDescent="0.25">
      <c r="A23" s="4" t="s">
        <v>113</v>
      </c>
      <c r="B23" s="4" t="s">
        <v>59</v>
      </c>
      <c r="C23">
        <v>8</v>
      </c>
      <c r="D23">
        <v>7.1</v>
      </c>
      <c r="E23">
        <v>32.200000000000003</v>
      </c>
      <c r="F23">
        <v>23.3</v>
      </c>
      <c r="G23">
        <v>31.7</v>
      </c>
      <c r="H23">
        <v>23.1</v>
      </c>
      <c r="I23">
        <v>31.2</v>
      </c>
      <c r="J23">
        <v>23</v>
      </c>
      <c r="K23">
        <v>25.1</v>
      </c>
      <c r="L23">
        <v>29.3</v>
      </c>
      <c r="M23">
        <v>24.6</v>
      </c>
      <c r="N23">
        <v>29</v>
      </c>
      <c r="O23">
        <v>24.2</v>
      </c>
      <c r="P23">
        <v>28.7</v>
      </c>
      <c r="Q23">
        <v>6.7</v>
      </c>
      <c r="R23">
        <v>60</v>
      </c>
      <c r="S23">
        <v>23.9</v>
      </c>
      <c r="T23">
        <v>18.8</v>
      </c>
      <c r="U23">
        <v>27.4</v>
      </c>
      <c r="V23">
        <v>23.3</v>
      </c>
      <c r="W23">
        <v>18</v>
      </c>
      <c r="X23">
        <v>27</v>
      </c>
      <c r="Y23">
        <v>22.7</v>
      </c>
      <c r="Z23">
        <v>17.5</v>
      </c>
      <c r="AA23">
        <v>26.8</v>
      </c>
      <c r="AB23">
        <v>76.3</v>
      </c>
      <c r="AC23">
        <v>29.3</v>
      </c>
      <c r="AD23">
        <v>74.2</v>
      </c>
      <c r="AE23">
        <v>29.1</v>
      </c>
      <c r="AF23">
        <v>72.400000000000006</v>
      </c>
      <c r="AG23">
        <v>28.8</v>
      </c>
      <c r="AH23">
        <v>37</v>
      </c>
    </row>
    <row r="25" spans="1:34" x14ac:dyDescent="0.25">
      <c r="A25" s="4" t="s">
        <v>113</v>
      </c>
      <c r="B25" s="4" t="s">
        <v>114</v>
      </c>
      <c r="C25" s="4" t="s">
        <v>168</v>
      </c>
      <c r="D25" s="4" t="s">
        <v>169</v>
      </c>
      <c r="E25" s="4" t="s">
        <v>170</v>
      </c>
      <c r="F25" s="4" t="s">
        <v>171</v>
      </c>
      <c r="G25" s="4" t="s">
        <v>172</v>
      </c>
      <c r="H25" s="4" t="s">
        <v>173</v>
      </c>
      <c r="I25" s="4" t="s">
        <v>174</v>
      </c>
      <c r="J25" s="4" t="s">
        <v>175</v>
      </c>
      <c r="K25" s="4" t="s">
        <v>176</v>
      </c>
      <c r="L25" s="4" t="s">
        <v>177</v>
      </c>
      <c r="M25" s="4" t="s">
        <v>178</v>
      </c>
      <c r="N25" s="4" t="s">
        <v>179</v>
      </c>
      <c r="O25" s="4" t="s">
        <v>180</v>
      </c>
      <c r="P25" s="4" t="s">
        <v>181</v>
      </c>
      <c r="Q25" s="4" t="s">
        <v>182</v>
      </c>
      <c r="R25" s="4" t="s">
        <v>183</v>
      </c>
    </row>
    <row r="26" spans="1:34" x14ac:dyDescent="0.25">
      <c r="A26" s="4" t="s">
        <v>113</v>
      </c>
      <c r="B26" s="4" t="s">
        <v>130</v>
      </c>
      <c r="C26" s="4" t="s">
        <v>133</v>
      </c>
      <c r="D26" s="4" t="s">
        <v>133</v>
      </c>
      <c r="E26" s="4" t="s">
        <v>133</v>
      </c>
      <c r="F26" s="4" t="s">
        <v>132</v>
      </c>
      <c r="G26" s="4" t="s">
        <v>132</v>
      </c>
      <c r="H26" s="4" t="s">
        <v>132</v>
      </c>
      <c r="I26" s="4" t="s">
        <v>132</v>
      </c>
      <c r="J26" s="4" t="s">
        <v>132</v>
      </c>
      <c r="K26" s="4" t="s">
        <v>132</v>
      </c>
      <c r="L26" s="4" t="s">
        <v>132</v>
      </c>
      <c r="M26" s="4" t="s">
        <v>132</v>
      </c>
      <c r="N26" s="4" t="s">
        <v>132</v>
      </c>
      <c r="O26" s="4" t="s">
        <v>132</v>
      </c>
      <c r="P26" s="4" t="s">
        <v>132</v>
      </c>
      <c r="Q26" s="4" t="s">
        <v>132</v>
      </c>
      <c r="R26" s="4" t="s">
        <v>132</v>
      </c>
    </row>
    <row r="27" spans="1:34" x14ac:dyDescent="0.25">
      <c r="A27" s="4" t="s">
        <v>113</v>
      </c>
      <c r="B27" s="4" t="s">
        <v>184</v>
      </c>
      <c r="C27">
        <v>9.8000000000000007</v>
      </c>
      <c r="D27">
        <v>9</v>
      </c>
      <c r="E27">
        <v>8.4</v>
      </c>
      <c r="F27">
        <v>27.4</v>
      </c>
      <c r="G27">
        <v>14.2</v>
      </c>
      <c r="H27">
        <v>33.1</v>
      </c>
      <c r="I27">
        <v>1.2</v>
      </c>
      <c r="J27">
        <v>0.9</v>
      </c>
      <c r="K27">
        <v>13.3</v>
      </c>
      <c r="L27">
        <v>33.799999999999997</v>
      </c>
      <c r="M27">
        <v>12.6</v>
      </c>
      <c r="N27">
        <v>34.299999999999997</v>
      </c>
      <c r="O27">
        <v>11.9</v>
      </c>
      <c r="P27">
        <v>34.799999999999997</v>
      </c>
      <c r="Q27">
        <v>11</v>
      </c>
      <c r="R27">
        <v>35.5</v>
      </c>
    </row>
    <row r="29" spans="1:34" x14ac:dyDescent="0.25">
      <c r="A29" s="4" t="s">
        <v>185</v>
      </c>
    </row>
    <row r="30" spans="1:34" x14ac:dyDescent="0.25">
      <c r="A30" s="4" t="s">
        <v>186</v>
      </c>
      <c r="B30" s="4" t="s">
        <v>0</v>
      </c>
      <c r="C30" s="4" t="s">
        <v>1</v>
      </c>
      <c r="D30" s="4" t="s">
        <v>2</v>
      </c>
      <c r="E30" s="4" t="s">
        <v>3</v>
      </c>
      <c r="F30" s="4" t="s">
        <v>4</v>
      </c>
      <c r="G30" s="4" t="s">
        <v>5</v>
      </c>
      <c r="H30" s="4" t="s">
        <v>6</v>
      </c>
      <c r="I30" s="4" t="s">
        <v>7</v>
      </c>
      <c r="J30" s="4" t="s">
        <v>8</v>
      </c>
      <c r="K30" s="4" t="s">
        <v>9</v>
      </c>
      <c r="L30" s="4" t="s">
        <v>10</v>
      </c>
      <c r="M30" s="4" t="s">
        <v>11</v>
      </c>
      <c r="N30" s="4" t="s">
        <v>12</v>
      </c>
    </row>
    <row r="31" spans="1:34" x14ac:dyDescent="0.25">
      <c r="A31" s="4" t="s">
        <v>186</v>
      </c>
      <c r="B31" s="4" t="s">
        <v>187</v>
      </c>
      <c r="C31">
        <v>29.4</v>
      </c>
      <c r="D31">
        <v>28.9</v>
      </c>
      <c r="E31">
        <v>30</v>
      </c>
      <c r="F31">
        <v>30</v>
      </c>
      <c r="G31">
        <v>31.1</v>
      </c>
      <c r="H31">
        <v>30.6</v>
      </c>
      <c r="I31">
        <v>32.200000000000003</v>
      </c>
      <c r="J31">
        <v>32.799999999999997</v>
      </c>
      <c r="K31">
        <v>33.299999999999997</v>
      </c>
      <c r="L31">
        <v>33.299999999999997</v>
      </c>
      <c r="M31">
        <v>30.6</v>
      </c>
      <c r="N31">
        <v>30.6</v>
      </c>
    </row>
    <row r="32" spans="1:34" x14ac:dyDescent="0.25">
      <c r="A32" s="4" t="s">
        <v>186</v>
      </c>
      <c r="B32" s="4" t="s">
        <v>188</v>
      </c>
      <c r="C32" s="65" t="s">
        <v>350</v>
      </c>
      <c r="D32" s="64">
        <v>0.7993055555555556</v>
      </c>
      <c r="E32" s="64">
        <v>1.2173611111111111</v>
      </c>
      <c r="F32" s="64" t="s">
        <v>314</v>
      </c>
      <c r="G32" s="65">
        <v>0.55138888888888882</v>
      </c>
      <c r="H32" s="65">
        <v>1.0930555555555557</v>
      </c>
      <c r="I32" s="65" t="s">
        <v>317</v>
      </c>
      <c r="J32" s="65">
        <v>0.4680555555555555</v>
      </c>
      <c r="K32" s="4" t="s">
        <v>327</v>
      </c>
      <c r="L32" s="65" t="s">
        <v>351</v>
      </c>
      <c r="M32" s="65" t="s">
        <v>350</v>
      </c>
      <c r="N32" s="65">
        <v>0.55138888888888882</v>
      </c>
    </row>
    <row r="34" spans="1:30" x14ac:dyDescent="0.25">
      <c r="A34" s="4" t="s">
        <v>186</v>
      </c>
      <c r="B34" s="4" t="s">
        <v>189</v>
      </c>
      <c r="C34">
        <v>17.2</v>
      </c>
      <c r="D34">
        <v>13.3</v>
      </c>
      <c r="E34">
        <v>15</v>
      </c>
      <c r="F34">
        <v>17.8</v>
      </c>
      <c r="G34">
        <v>18.899999999999999</v>
      </c>
      <c r="H34">
        <v>21.1</v>
      </c>
      <c r="I34">
        <v>22.2</v>
      </c>
      <c r="J34">
        <v>21.1</v>
      </c>
      <c r="K34">
        <v>22.2</v>
      </c>
      <c r="L34">
        <v>19.399999999999999</v>
      </c>
      <c r="M34">
        <v>16.100000000000001</v>
      </c>
      <c r="N34">
        <v>16.7</v>
      </c>
    </row>
    <row r="35" spans="1:30" x14ac:dyDescent="0.25">
      <c r="A35" s="4" t="s">
        <v>186</v>
      </c>
      <c r="B35" s="4" t="s">
        <v>188</v>
      </c>
      <c r="C35" s="65" t="s">
        <v>352</v>
      </c>
      <c r="D35" s="65">
        <v>0.50486111111111109</v>
      </c>
      <c r="E35" s="65" t="s">
        <v>313</v>
      </c>
      <c r="F35" s="64">
        <v>0.91875000000000007</v>
      </c>
      <c r="G35" s="65">
        <v>0.96250000000000002</v>
      </c>
      <c r="H35" s="65" t="s">
        <v>190</v>
      </c>
      <c r="I35" s="64" t="s">
        <v>216</v>
      </c>
      <c r="J35" s="64">
        <v>0.75416666666666676</v>
      </c>
      <c r="K35" s="64">
        <v>0.79513888888888884</v>
      </c>
      <c r="L35" s="64">
        <v>0.79583333333333339</v>
      </c>
      <c r="M35" s="64">
        <v>1.1298611111111112</v>
      </c>
      <c r="N35" s="64">
        <v>1.0847222222222224</v>
      </c>
    </row>
    <row r="37" spans="1:30" x14ac:dyDescent="0.25">
      <c r="A37" s="4" t="s">
        <v>186</v>
      </c>
      <c r="B37" s="4" t="s">
        <v>191</v>
      </c>
      <c r="C37">
        <v>22.5</v>
      </c>
      <c r="D37">
        <v>22.8</v>
      </c>
      <c r="E37">
        <v>23.2</v>
      </c>
      <c r="F37">
        <v>23.8</v>
      </c>
      <c r="G37">
        <v>25.2</v>
      </c>
      <c r="H37">
        <v>25.9</v>
      </c>
      <c r="I37">
        <v>26.9</v>
      </c>
      <c r="J37">
        <v>27.1</v>
      </c>
      <c r="K37">
        <v>26.9</v>
      </c>
      <c r="L37">
        <v>26.2</v>
      </c>
      <c r="M37">
        <v>24.8</v>
      </c>
      <c r="N37">
        <v>23.7</v>
      </c>
    </row>
    <row r="39" spans="1:30" x14ac:dyDescent="0.25">
      <c r="A39" s="4" t="s">
        <v>353</v>
      </c>
    </row>
    <row r="40" spans="1:30" x14ac:dyDescent="0.25">
      <c r="A40" s="4" t="s">
        <v>354</v>
      </c>
    </row>
    <row r="42" spans="1:30" x14ac:dyDescent="0.25">
      <c r="A42" s="4" t="s">
        <v>192</v>
      </c>
    </row>
    <row r="43" spans="1:30" x14ac:dyDescent="0.25">
      <c r="A43" s="4" t="s">
        <v>186</v>
      </c>
      <c r="B43" s="4" t="s">
        <v>0</v>
      </c>
      <c r="C43" s="4" t="s">
        <v>1</v>
      </c>
      <c r="D43" s="4" t="s">
        <v>2</v>
      </c>
      <c r="E43" s="4" t="s">
        <v>3</v>
      </c>
      <c r="F43" s="4" t="s">
        <v>4</v>
      </c>
      <c r="G43" s="4" t="s">
        <v>5</v>
      </c>
      <c r="H43" s="4" t="s">
        <v>6</v>
      </c>
      <c r="I43" s="4" t="s">
        <v>7</v>
      </c>
      <c r="J43" s="4" t="s">
        <v>8</v>
      </c>
      <c r="K43" s="4" t="s">
        <v>9</v>
      </c>
      <c r="L43" s="4" t="s">
        <v>10</v>
      </c>
      <c r="M43" s="4" t="s">
        <v>11</v>
      </c>
      <c r="N43" s="4" t="s">
        <v>12</v>
      </c>
      <c r="S43" s="4" t="s">
        <v>1</v>
      </c>
      <c r="T43" s="4" t="s">
        <v>2</v>
      </c>
      <c r="U43" s="4" t="s">
        <v>3</v>
      </c>
      <c r="V43" s="4" t="s">
        <v>4</v>
      </c>
      <c r="W43" s="4" t="s">
        <v>5</v>
      </c>
      <c r="X43" s="4" t="s">
        <v>6</v>
      </c>
      <c r="Y43" s="4" t="s">
        <v>7</v>
      </c>
      <c r="Z43" s="4" t="s">
        <v>8</v>
      </c>
      <c r="AA43" s="4" t="s">
        <v>9</v>
      </c>
      <c r="AB43" s="4" t="s">
        <v>10</v>
      </c>
      <c r="AC43" s="4" t="s">
        <v>11</v>
      </c>
      <c r="AD43" s="4" t="s">
        <v>12</v>
      </c>
    </row>
    <row r="44" spans="1:30" x14ac:dyDescent="0.25">
      <c r="A44" s="4" t="s">
        <v>186</v>
      </c>
      <c r="B44" s="4" t="s">
        <v>13</v>
      </c>
      <c r="C44">
        <v>20.7</v>
      </c>
      <c r="D44">
        <v>20.6</v>
      </c>
      <c r="E44">
        <v>20.8</v>
      </c>
      <c r="F44">
        <v>21.7</v>
      </c>
      <c r="G44">
        <v>22.8</v>
      </c>
      <c r="H44">
        <v>24</v>
      </c>
      <c r="I44">
        <v>24.8</v>
      </c>
      <c r="J44">
        <v>24.8</v>
      </c>
      <c r="K44">
        <v>25.1</v>
      </c>
      <c r="L44">
        <v>23.7</v>
      </c>
      <c r="M44">
        <v>22.8</v>
      </c>
      <c r="N44">
        <v>22</v>
      </c>
      <c r="R44" s="4" t="s">
        <v>13</v>
      </c>
      <c r="S44">
        <v>69.259999999999991</v>
      </c>
      <c r="T44">
        <v>69.080000000000013</v>
      </c>
      <c r="U44">
        <v>69.44</v>
      </c>
      <c r="V44">
        <v>71.06</v>
      </c>
      <c r="W44">
        <v>73.039999999999992</v>
      </c>
      <c r="X44">
        <v>75.2</v>
      </c>
      <c r="Y44">
        <v>76.64</v>
      </c>
      <c r="Z44">
        <v>76.64</v>
      </c>
      <c r="AA44">
        <v>77.180000000000007</v>
      </c>
      <c r="AB44">
        <v>74.66</v>
      </c>
      <c r="AC44">
        <v>73.039999999999992</v>
      </c>
      <c r="AD44">
        <v>71.599999999999994</v>
      </c>
    </row>
    <row r="45" spans="1:30" x14ac:dyDescent="0.25">
      <c r="A45" s="4" t="s">
        <v>186</v>
      </c>
      <c r="B45" s="4" t="s">
        <v>14</v>
      </c>
      <c r="C45">
        <v>20.399999999999999</v>
      </c>
      <c r="D45">
        <v>20.6</v>
      </c>
      <c r="E45">
        <v>20.399999999999999</v>
      </c>
      <c r="F45">
        <v>21.6</v>
      </c>
      <c r="G45">
        <v>22.5</v>
      </c>
      <c r="H45">
        <v>23.9</v>
      </c>
      <c r="I45">
        <v>24.7</v>
      </c>
      <c r="J45">
        <v>24.6</v>
      </c>
      <c r="K45">
        <v>25</v>
      </c>
      <c r="L45">
        <v>23.3</v>
      </c>
      <c r="M45">
        <v>22.6</v>
      </c>
      <c r="N45">
        <v>21.5</v>
      </c>
      <c r="R45" s="4" t="s">
        <v>14</v>
      </c>
      <c r="S45">
        <v>68.72</v>
      </c>
      <c r="T45">
        <v>69.080000000000013</v>
      </c>
      <c r="U45">
        <v>68.72</v>
      </c>
      <c r="V45">
        <v>70.88</v>
      </c>
      <c r="W45">
        <v>72.5</v>
      </c>
      <c r="X45">
        <v>75.02</v>
      </c>
      <c r="Y45">
        <v>76.460000000000008</v>
      </c>
      <c r="Z45">
        <v>76.28</v>
      </c>
      <c r="AA45">
        <v>77</v>
      </c>
      <c r="AB45">
        <v>73.94</v>
      </c>
      <c r="AC45">
        <v>72.680000000000007</v>
      </c>
      <c r="AD45">
        <v>70.7</v>
      </c>
    </row>
    <row r="46" spans="1:30" x14ac:dyDescent="0.25">
      <c r="A46" s="4" t="s">
        <v>186</v>
      </c>
      <c r="B46" s="4" t="s">
        <v>15</v>
      </c>
      <c r="C46">
        <v>20.2</v>
      </c>
      <c r="D46">
        <v>20.3</v>
      </c>
      <c r="E46">
        <v>20.3</v>
      </c>
      <c r="F46">
        <v>21.2</v>
      </c>
      <c r="G46">
        <v>22.3</v>
      </c>
      <c r="H46">
        <v>23.7</v>
      </c>
      <c r="I46">
        <v>24.6</v>
      </c>
      <c r="J46">
        <v>24.4</v>
      </c>
      <c r="K46">
        <v>24.8</v>
      </c>
      <c r="L46">
        <v>23.1</v>
      </c>
      <c r="M46">
        <v>22.5</v>
      </c>
      <c r="N46">
        <v>21.4</v>
      </c>
      <c r="R46" s="4" t="s">
        <v>15</v>
      </c>
      <c r="S46">
        <v>68.36</v>
      </c>
      <c r="T46">
        <v>68.539999999999992</v>
      </c>
      <c r="U46">
        <v>68.539999999999992</v>
      </c>
      <c r="V46">
        <v>70.16</v>
      </c>
      <c r="W46">
        <v>72.14</v>
      </c>
      <c r="X46">
        <v>74.66</v>
      </c>
      <c r="Y46">
        <v>76.28</v>
      </c>
      <c r="Z46">
        <v>75.92</v>
      </c>
      <c r="AA46">
        <v>76.64</v>
      </c>
      <c r="AB46">
        <v>73.580000000000013</v>
      </c>
      <c r="AC46">
        <v>72.5</v>
      </c>
      <c r="AD46">
        <v>70.52</v>
      </c>
    </row>
    <row r="47" spans="1:30" x14ac:dyDescent="0.25">
      <c r="A47" s="4" t="s">
        <v>186</v>
      </c>
      <c r="B47" s="4" t="s">
        <v>16</v>
      </c>
      <c r="C47">
        <v>20.100000000000001</v>
      </c>
      <c r="D47">
        <v>20</v>
      </c>
      <c r="E47">
        <v>19.899999999999999</v>
      </c>
      <c r="F47">
        <v>21</v>
      </c>
      <c r="G47">
        <v>22</v>
      </c>
      <c r="H47">
        <v>23.5</v>
      </c>
      <c r="I47">
        <v>24.4</v>
      </c>
      <c r="J47">
        <v>24.1</v>
      </c>
      <c r="K47">
        <v>24.6</v>
      </c>
      <c r="L47">
        <v>22.9</v>
      </c>
      <c r="M47">
        <v>22.2</v>
      </c>
      <c r="N47">
        <v>21.3</v>
      </c>
      <c r="R47" s="4" t="s">
        <v>16</v>
      </c>
      <c r="S47">
        <v>68.180000000000007</v>
      </c>
      <c r="T47">
        <v>68</v>
      </c>
      <c r="U47">
        <v>67.819999999999993</v>
      </c>
      <c r="V47">
        <v>69.800000000000011</v>
      </c>
      <c r="W47">
        <v>71.599999999999994</v>
      </c>
      <c r="X47">
        <v>74.300000000000011</v>
      </c>
      <c r="Y47">
        <v>75.92</v>
      </c>
      <c r="Z47">
        <v>75.38</v>
      </c>
      <c r="AA47">
        <v>76.28</v>
      </c>
      <c r="AB47">
        <v>73.22</v>
      </c>
      <c r="AC47">
        <v>71.960000000000008</v>
      </c>
      <c r="AD47">
        <v>70.34</v>
      </c>
    </row>
    <row r="48" spans="1:30" x14ac:dyDescent="0.25">
      <c r="A48" s="4" t="s">
        <v>186</v>
      </c>
      <c r="B48" s="4" t="s">
        <v>17</v>
      </c>
      <c r="C48">
        <v>19.899999999999999</v>
      </c>
      <c r="D48">
        <v>19.8</v>
      </c>
      <c r="E48">
        <v>19.899999999999999</v>
      </c>
      <c r="F48">
        <v>21</v>
      </c>
      <c r="G48">
        <v>22</v>
      </c>
      <c r="H48">
        <v>23.3</v>
      </c>
      <c r="I48">
        <v>24.4</v>
      </c>
      <c r="J48">
        <v>24</v>
      </c>
      <c r="K48">
        <v>24.4</v>
      </c>
      <c r="L48">
        <v>22.6</v>
      </c>
      <c r="M48">
        <v>22.2</v>
      </c>
      <c r="N48">
        <v>21.2</v>
      </c>
      <c r="R48" s="4" t="s">
        <v>17</v>
      </c>
      <c r="S48">
        <v>67.819999999999993</v>
      </c>
      <c r="T48">
        <v>67.64</v>
      </c>
      <c r="U48">
        <v>67.819999999999993</v>
      </c>
      <c r="V48">
        <v>69.800000000000011</v>
      </c>
      <c r="W48">
        <v>71.599999999999994</v>
      </c>
      <c r="X48">
        <v>73.94</v>
      </c>
      <c r="Y48">
        <v>75.92</v>
      </c>
      <c r="Z48">
        <v>75.2</v>
      </c>
      <c r="AA48">
        <v>75.92</v>
      </c>
      <c r="AB48">
        <v>72.680000000000007</v>
      </c>
      <c r="AC48">
        <v>71.960000000000008</v>
      </c>
      <c r="AD48">
        <v>70.16</v>
      </c>
    </row>
    <row r="49" spans="1:30" x14ac:dyDescent="0.25">
      <c r="A49" s="4" t="s">
        <v>186</v>
      </c>
      <c r="B49" s="4" t="s">
        <v>18</v>
      </c>
      <c r="C49">
        <v>19.8</v>
      </c>
      <c r="D49">
        <v>19.7</v>
      </c>
      <c r="E49">
        <v>19.899999999999999</v>
      </c>
      <c r="F49">
        <v>20.9</v>
      </c>
      <c r="G49">
        <v>22</v>
      </c>
      <c r="H49">
        <v>24.1</v>
      </c>
      <c r="I49">
        <v>24.4</v>
      </c>
      <c r="J49">
        <v>23.9</v>
      </c>
      <c r="K49">
        <v>24.6</v>
      </c>
      <c r="L49">
        <v>22.4</v>
      </c>
      <c r="M49">
        <v>22</v>
      </c>
      <c r="N49">
        <v>21.5</v>
      </c>
      <c r="R49" s="4" t="s">
        <v>18</v>
      </c>
      <c r="S49">
        <v>67.64</v>
      </c>
      <c r="T49">
        <v>67.460000000000008</v>
      </c>
      <c r="U49">
        <v>67.819999999999993</v>
      </c>
      <c r="V49">
        <v>69.62</v>
      </c>
      <c r="W49">
        <v>71.599999999999994</v>
      </c>
      <c r="X49">
        <v>75.38</v>
      </c>
      <c r="Y49">
        <v>75.92</v>
      </c>
      <c r="Z49">
        <v>75.02</v>
      </c>
      <c r="AA49">
        <v>76.28</v>
      </c>
      <c r="AB49">
        <v>72.319999999999993</v>
      </c>
      <c r="AC49">
        <v>71.599999999999994</v>
      </c>
      <c r="AD49">
        <v>70.7</v>
      </c>
    </row>
    <row r="50" spans="1:30" x14ac:dyDescent="0.25">
      <c r="A50" s="4" t="s">
        <v>186</v>
      </c>
      <c r="B50" s="4" t="s">
        <v>19</v>
      </c>
      <c r="C50">
        <v>19.600000000000001</v>
      </c>
      <c r="D50">
        <v>19.600000000000001</v>
      </c>
      <c r="E50">
        <v>20</v>
      </c>
      <c r="F50">
        <v>21.4</v>
      </c>
      <c r="G50">
        <v>23.3</v>
      </c>
      <c r="H50">
        <v>24.8</v>
      </c>
      <c r="I50">
        <v>25.1</v>
      </c>
      <c r="J50">
        <v>24.4</v>
      </c>
      <c r="K50">
        <v>24.8</v>
      </c>
      <c r="L50">
        <v>22.7</v>
      </c>
      <c r="M50">
        <v>22.3</v>
      </c>
      <c r="N50">
        <v>21.8</v>
      </c>
      <c r="R50" s="4" t="s">
        <v>19</v>
      </c>
      <c r="S50">
        <v>67.28</v>
      </c>
      <c r="T50">
        <v>67.28</v>
      </c>
      <c r="U50">
        <v>68</v>
      </c>
      <c r="V50">
        <v>70.52</v>
      </c>
      <c r="W50">
        <v>73.94</v>
      </c>
      <c r="X50">
        <v>76.64</v>
      </c>
      <c r="Y50">
        <v>77.180000000000007</v>
      </c>
      <c r="Z50">
        <v>75.92</v>
      </c>
      <c r="AA50">
        <v>76.64</v>
      </c>
      <c r="AB50">
        <v>72.86</v>
      </c>
      <c r="AC50">
        <v>72.14</v>
      </c>
      <c r="AD50">
        <v>71.240000000000009</v>
      </c>
    </row>
    <row r="51" spans="1:30" x14ac:dyDescent="0.25">
      <c r="A51" s="4" t="s">
        <v>186</v>
      </c>
      <c r="B51" s="4" t="s">
        <v>20</v>
      </c>
      <c r="C51">
        <v>20.6</v>
      </c>
      <c r="D51">
        <v>21.1</v>
      </c>
      <c r="E51">
        <v>22</v>
      </c>
      <c r="F51">
        <v>23.3</v>
      </c>
      <c r="G51">
        <v>25.3</v>
      </c>
      <c r="H51">
        <v>25.5</v>
      </c>
      <c r="I51">
        <v>26.6</v>
      </c>
      <c r="J51">
        <v>26.5</v>
      </c>
      <c r="K51">
        <v>26.2</v>
      </c>
      <c r="L51">
        <v>26</v>
      </c>
      <c r="M51">
        <v>24.1</v>
      </c>
      <c r="N51">
        <v>22.2</v>
      </c>
      <c r="R51" s="4" t="s">
        <v>20</v>
      </c>
      <c r="S51">
        <v>69.080000000000013</v>
      </c>
      <c r="T51">
        <v>69.98</v>
      </c>
      <c r="U51">
        <v>71.599999999999994</v>
      </c>
      <c r="V51">
        <v>73.94</v>
      </c>
      <c r="W51">
        <v>77.539999999999992</v>
      </c>
      <c r="X51">
        <v>77.900000000000006</v>
      </c>
      <c r="Y51">
        <v>79.88</v>
      </c>
      <c r="Z51">
        <v>79.7</v>
      </c>
      <c r="AA51">
        <v>79.16</v>
      </c>
      <c r="AB51">
        <v>78.800000000000011</v>
      </c>
      <c r="AC51">
        <v>75.38</v>
      </c>
      <c r="AD51">
        <v>71.960000000000008</v>
      </c>
    </row>
    <row r="52" spans="1:30" x14ac:dyDescent="0.25">
      <c r="A52" s="4" t="s">
        <v>186</v>
      </c>
      <c r="B52" s="4" t="s">
        <v>21</v>
      </c>
      <c r="C52">
        <v>23</v>
      </c>
      <c r="D52">
        <v>23.6</v>
      </c>
      <c r="E52">
        <v>24.3</v>
      </c>
      <c r="F52">
        <v>24.5</v>
      </c>
      <c r="G52">
        <v>26.8</v>
      </c>
      <c r="H52">
        <v>26.5</v>
      </c>
      <c r="I52">
        <v>28.1</v>
      </c>
      <c r="J52">
        <v>28.3</v>
      </c>
      <c r="K52">
        <v>27.5</v>
      </c>
      <c r="L52">
        <v>28.1</v>
      </c>
      <c r="M52">
        <v>25.6</v>
      </c>
      <c r="N52">
        <v>23.5</v>
      </c>
      <c r="R52" s="4" t="s">
        <v>21</v>
      </c>
      <c r="S52">
        <v>73.400000000000006</v>
      </c>
      <c r="T52">
        <v>74.48</v>
      </c>
      <c r="U52">
        <v>75.740000000000009</v>
      </c>
      <c r="V52">
        <v>76.099999999999994</v>
      </c>
      <c r="W52">
        <v>80.240000000000009</v>
      </c>
      <c r="X52">
        <v>79.7</v>
      </c>
      <c r="Y52">
        <v>82.580000000000013</v>
      </c>
      <c r="Z52">
        <v>82.94</v>
      </c>
      <c r="AA52">
        <v>81.5</v>
      </c>
      <c r="AB52">
        <v>82.580000000000013</v>
      </c>
      <c r="AC52">
        <v>78.080000000000013</v>
      </c>
      <c r="AD52">
        <v>74.300000000000011</v>
      </c>
    </row>
    <row r="53" spans="1:30" x14ac:dyDescent="0.25">
      <c r="A53" s="4" t="s">
        <v>186</v>
      </c>
      <c r="B53" s="4" t="s">
        <v>22</v>
      </c>
      <c r="C53">
        <v>24.6</v>
      </c>
      <c r="D53">
        <v>25.1</v>
      </c>
      <c r="E53">
        <v>25.7</v>
      </c>
      <c r="F53">
        <v>25.8</v>
      </c>
      <c r="G53">
        <v>27.9</v>
      </c>
      <c r="H53">
        <v>27.5</v>
      </c>
      <c r="I53">
        <v>28.8</v>
      </c>
      <c r="J53">
        <v>29.5</v>
      </c>
      <c r="K53">
        <v>28.6</v>
      </c>
      <c r="L53">
        <v>29.4</v>
      </c>
      <c r="M53">
        <v>26.9</v>
      </c>
      <c r="N53">
        <v>24.9</v>
      </c>
      <c r="R53" s="4" t="s">
        <v>22</v>
      </c>
      <c r="S53">
        <v>76.28</v>
      </c>
      <c r="T53">
        <v>77.180000000000007</v>
      </c>
      <c r="U53">
        <v>78.259999999999991</v>
      </c>
      <c r="V53">
        <v>78.44</v>
      </c>
      <c r="W53">
        <v>82.22</v>
      </c>
      <c r="X53">
        <v>81.5</v>
      </c>
      <c r="Y53">
        <v>83.84</v>
      </c>
      <c r="Z53">
        <v>85.1</v>
      </c>
      <c r="AA53">
        <v>83.48</v>
      </c>
      <c r="AB53">
        <v>84.92</v>
      </c>
      <c r="AC53">
        <v>80.42</v>
      </c>
      <c r="AD53">
        <v>76.819999999999993</v>
      </c>
    </row>
    <row r="54" spans="1:30" x14ac:dyDescent="0.25">
      <c r="A54" s="4" t="s">
        <v>186</v>
      </c>
      <c r="B54" s="4" t="s">
        <v>23</v>
      </c>
      <c r="C54">
        <v>25.4</v>
      </c>
      <c r="D54">
        <v>25.9</v>
      </c>
      <c r="E54">
        <v>26.3</v>
      </c>
      <c r="F54">
        <v>26.6</v>
      </c>
      <c r="G54">
        <v>28.7</v>
      </c>
      <c r="H54">
        <v>28.5</v>
      </c>
      <c r="I54">
        <v>29.9</v>
      </c>
      <c r="J54">
        <v>30.3</v>
      </c>
      <c r="K54">
        <v>29.1</v>
      </c>
      <c r="L54">
        <v>30</v>
      </c>
      <c r="M54">
        <v>27.7</v>
      </c>
      <c r="N54">
        <v>26.2</v>
      </c>
      <c r="R54" s="4" t="s">
        <v>23</v>
      </c>
      <c r="S54">
        <v>77.72</v>
      </c>
      <c r="T54">
        <v>78.62</v>
      </c>
      <c r="U54">
        <v>79.34</v>
      </c>
      <c r="V54">
        <v>79.88</v>
      </c>
      <c r="W54">
        <v>83.66</v>
      </c>
      <c r="X54">
        <v>83.300000000000011</v>
      </c>
      <c r="Y54">
        <v>85.82</v>
      </c>
      <c r="Z54">
        <v>86.539999999999992</v>
      </c>
      <c r="AA54">
        <v>84.38</v>
      </c>
      <c r="AB54">
        <v>86</v>
      </c>
      <c r="AC54">
        <v>81.86</v>
      </c>
      <c r="AD54">
        <v>79.16</v>
      </c>
    </row>
    <row r="55" spans="1:30" x14ac:dyDescent="0.25">
      <c r="A55" s="4" t="s">
        <v>186</v>
      </c>
      <c r="B55" s="4" t="s">
        <v>24</v>
      </c>
      <c r="C55">
        <v>25.8</v>
      </c>
      <c r="D55">
        <v>25.9</v>
      </c>
      <c r="E55">
        <v>26.8</v>
      </c>
      <c r="F55">
        <v>27.2</v>
      </c>
      <c r="G55">
        <v>28.8</v>
      </c>
      <c r="H55">
        <v>28.6</v>
      </c>
      <c r="I55">
        <v>30.3</v>
      </c>
      <c r="J55">
        <v>30.9</v>
      </c>
      <c r="K55">
        <v>29.8</v>
      </c>
      <c r="L55">
        <v>30.6</v>
      </c>
      <c r="M55">
        <v>28.2</v>
      </c>
      <c r="N55">
        <v>26.4</v>
      </c>
      <c r="R55" s="4" t="s">
        <v>24</v>
      </c>
      <c r="S55">
        <v>78.44</v>
      </c>
      <c r="T55">
        <v>78.62</v>
      </c>
      <c r="U55">
        <v>80.240000000000009</v>
      </c>
      <c r="V55">
        <v>80.960000000000008</v>
      </c>
      <c r="W55">
        <v>83.84</v>
      </c>
      <c r="X55">
        <v>83.48</v>
      </c>
      <c r="Y55">
        <v>86.539999999999992</v>
      </c>
      <c r="Z55">
        <v>87.62</v>
      </c>
      <c r="AA55">
        <v>85.64</v>
      </c>
      <c r="AB55">
        <v>87.080000000000013</v>
      </c>
      <c r="AC55">
        <v>82.759999999999991</v>
      </c>
      <c r="AD55">
        <v>79.52</v>
      </c>
    </row>
    <row r="56" spans="1:30" x14ac:dyDescent="0.25">
      <c r="A56" s="4" t="s">
        <v>186</v>
      </c>
      <c r="B56" s="4" t="s">
        <v>25</v>
      </c>
      <c r="C56">
        <v>25.9</v>
      </c>
      <c r="D56">
        <v>26.5</v>
      </c>
      <c r="E56">
        <v>27</v>
      </c>
      <c r="F56">
        <v>27.4</v>
      </c>
      <c r="G56">
        <v>28.9</v>
      </c>
      <c r="H56">
        <v>28.8</v>
      </c>
      <c r="I56">
        <v>30.4</v>
      </c>
      <c r="J56">
        <v>31</v>
      </c>
      <c r="K56">
        <v>30</v>
      </c>
      <c r="L56">
        <v>30.4</v>
      </c>
      <c r="M56">
        <v>28.3</v>
      </c>
      <c r="N56">
        <v>26.7</v>
      </c>
      <c r="R56" s="4" t="s">
        <v>25</v>
      </c>
      <c r="S56">
        <v>78.62</v>
      </c>
      <c r="T56">
        <v>79.7</v>
      </c>
      <c r="U56">
        <v>80.599999999999994</v>
      </c>
      <c r="V56">
        <v>81.319999999999993</v>
      </c>
      <c r="W56">
        <v>84.02</v>
      </c>
      <c r="X56">
        <v>83.84</v>
      </c>
      <c r="Y56">
        <v>86.72</v>
      </c>
      <c r="Z56">
        <v>87.800000000000011</v>
      </c>
      <c r="AA56">
        <v>86</v>
      </c>
      <c r="AB56">
        <v>86.72</v>
      </c>
      <c r="AC56">
        <v>82.94</v>
      </c>
      <c r="AD56">
        <v>80.06</v>
      </c>
    </row>
    <row r="57" spans="1:30" x14ac:dyDescent="0.25">
      <c r="A57" s="4" t="s">
        <v>186</v>
      </c>
      <c r="B57" s="4" t="s">
        <v>26</v>
      </c>
      <c r="C57">
        <v>26.1</v>
      </c>
      <c r="D57">
        <v>26.4</v>
      </c>
      <c r="E57">
        <v>27.2</v>
      </c>
      <c r="F57">
        <v>27.2</v>
      </c>
      <c r="G57">
        <v>28.9</v>
      </c>
      <c r="H57">
        <v>28.9</v>
      </c>
      <c r="I57">
        <v>30.4</v>
      </c>
      <c r="J57">
        <v>31.1</v>
      </c>
      <c r="K57">
        <v>30</v>
      </c>
      <c r="L57">
        <v>30.3</v>
      </c>
      <c r="M57">
        <v>28.2</v>
      </c>
      <c r="N57">
        <v>26.9</v>
      </c>
      <c r="R57" s="4" t="s">
        <v>26</v>
      </c>
      <c r="S57">
        <v>78.98</v>
      </c>
      <c r="T57">
        <v>79.52</v>
      </c>
      <c r="U57">
        <v>80.960000000000008</v>
      </c>
      <c r="V57">
        <v>80.960000000000008</v>
      </c>
      <c r="W57">
        <v>84.02</v>
      </c>
      <c r="X57">
        <v>84.02</v>
      </c>
      <c r="Y57">
        <v>86.72</v>
      </c>
      <c r="Z57">
        <v>87.98</v>
      </c>
      <c r="AA57">
        <v>86</v>
      </c>
      <c r="AB57">
        <v>86.539999999999992</v>
      </c>
      <c r="AC57">
        <v>82.759999999999991</v>
      </c>
      <c r="AD57">
        <v>80.42</v>
      </c>
    </row>
    <row r="58" spans="1:30" x14ac:dyDescent="0.25">
      <c r="A58" s="4" t="s">
        <v>186</v>
      </c>
      <c r="B58" s="4" t="s">
        <v>27</v>
      </c>
      <c r="C58">
        <v>25.6</v>
      </c>
      <c r="D58">
        <v>26.4</v>
      </c>
      <c r="E58">
        <v>26.9</v>
      </c>
      <c r="F58">
        <v>27.2</v>
      </c>
      <c r="G58">
        <v>28.7</v>
      </c>
      <c r="H58">
        <v>28.5</v>
      </c>
      <c r="I58">
        <v>30.2</v>
      </c>
      <c r="J58">
        <v>31.1</v>
      </c>
      <c r="K58">
        <v>29.9</v>
      </c>
      <c r="L58">
        <v>30.1</v>
      </c>
      <c r="M58">
        <v>28</v>
      </c>
      <c r="N58">
        <v>26.4</v>
      </c>
      <c r="R58" s="4" t="s">
        <v>27</v>
      </c>
      <c r="S58">
        <v>78.080000000000013</v>
      </c>
      <c r="T58">
        <v>79.52</v>
      </c>
      <c r="U58">
        <v>80.42</v>
      </c>
      <c r="V58">
        <v>80.960000000000008</v>
      </c>
      <c r="W58">
        <v>83.66</v>
      </c>
      <c r="X58">
        <v>83.300000000000011</v>
      </c>
      <c r="Y58">
        <v>86.36</v>
      </c>
      <c r="Z58">
        <v>87.98</v>
      </c>
      <c r="AA58">
        <v>85.82</v>
      </c>
      <c r="AB58">
        <v>86.18</v>
      </c>
      <c r="AC58">
        <v>82.4</v>
      </c>
      <c r="AD58">
        <v>79.52</v>
      </c>
    </row>
    <row r="59" spans="1:30" x14ac:dyDescent="0.25">
      <c r="A59" s="4" t="s">
        <v>186</v>
      </c>
      <c r="B59" s="4" t="s">
        <v>28</v>
      </c>
      <c r="C59">
        <v>25.2</v>
      </c>
      <c r="D59">
        <v>25.9</v>
      </c>
      <c r="E59">
        <v>26.5</v>
      </c>
      <c r="F59">
        <v>26.9</v>
      </c>
      <c r="G59">
        <v>28.1</v>
      </c>
      <c r="H59">
        <v>28.1</v>
      </c>
      <c r="I59">
        <v>29.6</v>
      </c>
      <c r="J59">
        <v>30.2</v>
      </c>
      <c r="K59">
        <v>29.3</v>
      </c>
      <c r="L59">
        <v>29.4</v>
      </c>
      <c r="M59">
        <v>27.2</v>
      </c>
      <c r="N59">
        <v>26</v>
      </c>
      <c r="R59" s="4" t="s">
        <v>28</v>
      </c>
      <c r="S59">
        <v>77.36</v>
      </c>
      <c r="T59">
        <v>78.62</v>
      </c>
      <c r="U59">
        <v>79.7</v>
      </c>
      <c r="V59">
        <v>80.42</v>
      </c>
      <c r="W59">
        <v>82.580000000000013</v>
      </c>
      <c r="X59">
        <v>82.580000000000013</v>
      </c>
      <c r="Y59">
        <v>85.28</v>
      </c>
      <c r="Z59">
        <v>86.36</v>
      </c>
      <c r="AA59">
        <v>84.740000000000009</v>
      </c>
      <c r="AB59">
        <v>84.92</v>
      </c>
      <c r="AC59">
        <v>80.960000000000008</v>
      </c>
      <c r="AD59">
        <v>78.800000000000011</v>
      </c>
    </row>
    <row r="60" spans="1:30" x14ac:dyDescent="0.25">
      <c r="A60" s="4" t="s">
        <v>186</v>
      </c>
      <c r="B60" s="4" t="s">
        <v>29</v>
      </c>
      <c r="C60">
        <v>24.2</v>
      </c>
      <c r="D60">
        <v>25</v>
      </c>
      <c r="E60">
        <v>25.7</v>
      </c>
      <c r="F60">
        <v>25.8</v>
      </c>
      <c r="G60">
        <v>27.2</v>
      </c>
      <c r="H60">
        <v>27.7</v>
      </c>
      <c r="I60">
        <v>28.7</v>
      </c>
      <c r="J60">
        <v>29.3</v>
      </c>
      <c r="K60">
        <v>28.4</v>
      </c>
      <c r="L60">
        <v>28</v>
      </c>
      <c r="M60">
        <v>26.3</v>
      </c>
      <c r="N60">
        <v>25.5</v>
      </c>
      <c r="R60" s="4" t="s">
        <v>29</v>
      </c>
      <c r="S60">
        <v>75.56</v>
      </c>
      <c r="T60">
        <v>77</v>
      </c>
      <c r="U60">
        <v>78.259999999999991</v>
      </c>
      <c r="V60">
        <v>78.44</v>
      </c>
      <c r="W60">
        <v>80.960000000000008</v>
      </c>
      <c r="X60">
        <v>81.86</v>
      </c>
      <c r="Y60">
        <v>83.66</v>
      </c>
      <c r="Z60">
        <v>84.740000000000009</v>
      </c>
      <c r="AA60">
        <v>83.12</v>
      </c>
      <c r="AB60">
        <v>82.4</v>
      </c>
      <c r="AC60">
        <v>79.34</v>
      </c>
      <c r="AD60">
        <v>77.900000000000006</v>
      </c>
    </row>
    <row r="61" spans="1:30" x14ac:dyDescent="0.25">
      <c r="A61" s="4" t="s">
        <v>186</v>
      </c>
      <c r="B61" s="4" t="s">
        <v>30</v>
      </c>
      <c r="C61">
        <v>23.1</v>
      </c>
      <c r="D61">
        <v>23.9</v>
      </c>
      <c r="E61">
        <v>24.6</v>
      </c>
      <c r="F61">
        <v>24.6</v>
      </c>
      <c r="G61">
        <v>26.1</v>
      </c>
      <c r="H61">
        <v>26.7</v>
      </c>
      <c r="I61">
        <v>27.6</v>
      </c>
      <c r="J61">
        <v>28</v>
      </c>
      <c r="K61">
        <v>27.7</v>
      </c>
      <c r="L61">
        <v>26.7</v>
      </c>
      <c r="M61">
        <v>24.9</v>
      </c>
      <c r="N61">
        <v>24.8</v>
      </c>
      <c r="R61" s="4" t="s">
        <v>30</v>
      </c>
      <c r="S61">
        <v>73.580000000000013</v>
      </c>
      <c r="T61">
        <v>75.02</v>
      </c>
      <c r="U61">
        <v>76.28</v>
      </c>
      <c r="V61">
        <v>76.28</v>
      </c>
      <c r="W61">
        <v>78.98</v>
      </c>
      <c r="X61">
        <v>80.06</v>
      </c>
      <c r="Y61">
        <v>81.680000000000007</v>
      </c>
      <c r="Z61">
        <v>82.4</v>
      </c>
      <c r="AA61">
        <v>81.86</v>
      </c>
      <c r="AB61">
        <v>80.06</v>
      </c>
      <c r="AC61">
        <v>76.819999999999993</v>
      </c>
      <c r="AD61">
        <v>76.64</v>
      </c>
    </row>
    <row r="62" spans="1:30" x14ac:dyDescent="0.25">
      <c r="A62" s="4" t="s">
        <v>186</v>
      </c>
      <c r="B62" s="4" t="s">
        <v>31</v>
      </c>
      <c r="C62">
        <v>22.3</v>
      </c>
      <c r="D62">
        <v>22.8</v>
      </c>
      <c r="E62">
        <v>23.2</v>
      </c>
      <c r="F62">
        <v>23.1</v>
      </c>
      <c r="G62">
        <v>25</v>
      </c>
      <c r="H62">
        <v>25.7</v>
      </c>
      <c r="I62">
        <v>26.3</v>
      </c>
      <c r="J62">
        <v>26.5</v>
      </c>
      <c r="K62">
        <v>26.8</v>
      </c>
      <c r="L62">
        <v>25.8</v>
      </c>
      <c r="M62">
        <v>24.4</v>
      </c>
      <c r="N62">
        <v>24.1</v>
      </c>
      <c r="R62" s="4" t="s">
        <v>31</v>
      </c>
      <c r="S62">
        <v>72.14</v>
      </c>
      <c r="T62">
        <v>73.039999999999992</v>
      </c>
      <c r="U62">
        <v>73.759999999999991</v>
      </c>
      <c r="V62">
        <v>73.580000000000013</v>
      </c>
      <c r="W62">
        <v>77</v>
      </c>
      <c r="X62">
        <v>78.259999999999991</v>
      </c>
      <c r="Y62">
        <v>79.34</v>
      </c>
      <c r="Z62">
        <v>79.7</v>
      </c>
      <c r="AA62">
        <v>80.240000000000009</v>
      </c>
      <c r="AB62">
        <v>78.44</v>
      </c>
      <c r="AC62">
        <v>75.92</v>
      </c>
      <c r="AD62">
        <v>75.38</v>
      </c>
    </row>
    <row r="63" spans="1:30" x14ac:dyDescent="0.25">
      <c r="A63" s="4" t="s">
        <v>186</v>
      </c>
      <c r="B63" s="4" t="s">
        <v>32</v>
      </c>
      <c r="C63">
        <v>21.9</v>
      </c>
      <c r="D63">
        <v>22.4</v>
      </c>
      <c r="E63">
        <v>22.5</v>
      </c>
      <c r="F63">
        <v>22.6</v>
      </c>
      <c r="G63">
        <v>24.2</v>
      </c>
      <c r="H63">
        <v>24.7</v>
      </c>
      <c r="I63">
        <v>25.6</v>
      </c>
      <c r="J63">
        <v>25.8</v>
      </c>
      <c r="K63">
        <v>26</v>
      </c>
      <c r="L63">
        <v>25.5</v>
      </c>
      <c r="M63">
        <v>24.1</v>
      </c>
      <c r="N63">
        <v>23.4</v>
      </c>
      <c r="R63" s="4" t="s">
        <v>32</v>
      </c>
      <c r="S63">
        <v>71.42</v>
      </c>
      <c r="T63">
        <v>72.319999999999993</v>
      </c>
      <c r="U63">
        <v>72.5</v>
      </c>
      <c r="V63">
        <v>72.680000000000007</v>
      </c>
      <c r="W63">
        <v>75.56</v>
      </c>
      <c r="X63">
        <v>76.460000000000008</v>
      </c>
      <c r="Y63">
        <v>78.080000000000013</v>
      </c>
      <c r="Z63">
        <v>78.44</v>
      </c>
      <c r="AA63">
        <v>78.800000000000011</v>
      </c>
      <c r="AB63">
        <v>77.900000000000006</v>
      </c>
      <c r="AC63">
        <v>75.38</v>
      </c>
      <c r="AD63">
        <v>74.12</v>
      </c>
    </row>
    <row r="64" spans="1:30" x14ac:dyDescent="0.25">
      <c r="A64" s="4" t="s">
        <v>186</v>
      </c>
      <c r="B64" s="4" t="s">
        <v>33</v>
      </c>
      <c r="C64">
        <v>21.7</v>
      </c>
      <c r="D64">
        <v>21.9</v>
      </c>
      <c r="E64">
        <v>22.1</v>
      </c>
      <c r="F64">
        <v>22.6</v>
      </c>
      <c r="G64">
        <v>24</v>
      </c>
      <c r="H64">
        <v>24.6</v>
      </c>
      <c r="I64">
        <v>25.4</v>
      </c>
      <c r="J64">
        <v>25.5</v>
      </c>
      <c r="K64">
        <v>25.9</v>
      </c>
      <c r="L64">
        <v>25.2</v>
      </c>
      <c r="M64">
        <v>23.9</v>
      </c>
      <c r="N64">
        <v>23.1</v>
      </c>
      <c r="R64" s="4" t="s">
        <v>33</v>
      </c>
      <c r="S64">
        <v>71.06</v>
      </c>
      <c r="T64">
        <v>71.42</v>
      </c>
      <c r="U64">
        <v>71.78</v>
      </c>
      <c r="V64">
        <v>72.680000000000007</v>
      </c>
      <c r="W64">
        <v>75.2</v>
      </c>
      <c r="X64">
        <v>76.28</v>
      </c>
      <c r="Y64">
        <v>77.72</v>
      </c>
      <c r="Z64">
        <v>77.900000000000006</v>
      </c>
      <c r="AA64">
        <v>78.62</v>
      </c>
      <c r="AB64">
        <v>77.36</v>
      </c>
      <c r="AC64">
        <v>75.02</v>
      </c>
      <c r="AD64">
        <v>73.580000000000013</v>
      </c>
    </row>
    <row r="65" spans="1:30" x14ac:dyDescent="0.25">
      <c r="A65" s="4" t="s">
        <v>186</v>
      </c>
      <c r="B65" s="4" t="s">
        <v>34</v>
      </c>
      <c r="C65">
        <v>21.4</v>
      </c>
      <c r="D65">
        <v>21.6</v>
      </c>
      <c r="E65">
        <v>21.7</v>
      </c>
      <c r="F65">
        <v>22.4</v>
      </c>
      <c r="G65">
        <v>23.7</v>
      </c>
      <c r="H65">
        <v>24.5</v>
      </c>
      <c r="I65">
        <v>25.2</v>
      </c>
      <c r="J65">
        <v>25.3</v>
      </c>
      <c r="K65">
        <v>25.7</v>
      </c>
      <c r="L65">
        <v>24.7</v>
      </c>
      <c r="M65">
        <v>23.6</v>
      </c>
      <c r="N65">
        <v>22.9</v>
      </c>
      <c r="R65" s="4" t="s">
        <v>34</v>
      </c>
      <c r="S65">
        <v>70.52</v>
      </c>
      <c r="T65">
        <v>70.88</v>
      </c>
      <c r="U65">
        <v>71.06</v>
      </c>
      <c r="V65">
        <v>72.319999999999993</v>
      </c>
      <c r="W65">
        <v>74.66</v>
      </c>
      <c r="X65">
        <v>76.099999999999994</v>
      </c>
      <c r="Y65">
        <v>77.36</v>
      </c>
      <c r="Z65">
        <v>77.539999999999992</v>
      </c>
      <c r="AA65">
        <v>78.259999999999991</v>
      </c>
      <c r="AB65">
        <v>76.460000000000008</v>
      </c>
      <c r="AC65">
        <v>74.48</v>
      </c>
      <c r="AD65">
        <v>73.22</v>
      </c>
    </row>
    <row r="66" spans="1:30" x14ac:dyDescent="0.25">
      <c r="A66" s="4" t="s">
        <v>186</v>
      </c>
      <c r="B66" s="4" t="s">
        <v>35</v>
      </c>
      <c r="C66">
        <v>21</v>
      </c>
      <c r="D66">
        <v>21.3</v>
      </c>
      <c r="E66">
        <v>21.3</v>
      </c>
      <c r="F66">
        <v>22.1</v>
      </c>
      <c r="G66">
        <v>23.4</v>
      </c>
      <c r="H66">
        <v>24.4</v>
      </c>
      <c r="I66">
        <v>25.1</v>
      </c>
      <c r="J66">
        <v>25.1</v>
      </c>
      <c r="K66">
        <v>25.5</v>
      </c>
      <c r="L66">
        <v>24.3</v>
      </c>
      <c r="M66">
        <v>23.2</v>
      </c>
      <c r="N66">
        <v>22.6</v>
      </c>
      <c r="R66" s="4" t="s">
        <v>35</v>
      </c>
      <c r="S66">
        <v>69.800000000000011</v>
      </c>
      <c r="T66">
        <v>70.34</v>
      </c>
      <c r="U66">
        <v>70.34</v>
      </c>
      <c r="V66">
        <v>71.78</v>
      </c>
      <c r="W66">
        <v>74.12</v>
      </c>
      <c r="X66">
        <v>75.92</v>
      </c>
      <c r="Y66">
        <v>77.180000000000007</v>
      </c>
      <c r="Z66">
        <v>77.180000000000007</v>
      </c>
      <c r="AA66">
        <v>77.900000000000006</v>
      </c>
      <c r="AB66">
        <v>75.740000000000009</v>
      </c>
      <c r="AC66">
        <v>73.759999999999991</v>
      </c>
      <c r="AD66">
        <v>72.680000000000007</v>
      </c>
    </row>
    <row r="67" spans="1:30" x14ac:dyDescent="0.25">
      <c r="A67" s="4" t="s">
        <v>186</v>
      </c>
      <c r="B67" s="4" t="s">
        <v>36</v>
      </c>
      <c r="C67">
        <v>20.9</v>
      </c>
      <c r="D67">
        <v>20.9</v>
      </c>
      <c r="E67">
        <v>21</v>
      </c>
      <c r="F67">
        <v>21.9</v>
      </c>
      <c r="G67">
        <v>23.2</v>
      </c>
      <c r="H67">
        <v>24.2</v>
      </c>
      <c r="I67">
        <v>24.9</v>
      </c>
      <c r="J67">
        <v>25</v>
      </c>
      <c r="K67">
        <v>25.4</v>
      </c>
      <c r="L67">
        <v>24</v>
      </c>
      <c r="M67">
        <v>23</v>
      </c>
      <c r="N67">
        <v>22.3</v>
      </c>
      <c r="R67" s="4" t="s">
        <v>36</v>
      </c>
      <c r="S67">
        <v>69.62</v>
      </c>
      <c r="T67">
        <v>69.62</v>
      </c>
      <c r="U67">
        <v>69.800000000000011</v>
      </c>
      <c r="V67">
        <v>71.42</v>
      </c>
      <c r="W67">
        <v>73.759999999999991</v>
      </c>
      <c r="X67">
        <v>75.56</v>
      </c>
      <c r="Y67">
        <v>76.819999999999993</v>
      </c>
      <c r="Z67">
        <v>77</v>
      </c>
      <c r="AA67">
        <v>77.72</v>
      </c>
      <c r="AB67">
        <v>75.2</v>
      </c>
      <c r="AC67">
        <v>73.400000000000006</v>
      </c>
      <c r="AD67">
        <v>72.14</v>
      </c>
    </row>
    <row r="68" spans="1:30" x14ac:dyDescent="0.25">
      <c r="A68" s="4" t="s">
        <v>186</v>
      </c>
      <c r="B68" s="4" t="s">
        <v>193</v>
      </c>
      <c r="C68">
        <v>14</v>
      </c>
      <c r="D68">
        <v>13</v>
      </c>
      <c r="E68">
        <v>14</v>
      </c>
      <c r="F68">
        <v>13</v>
      </c>
      <c r="G68">
        <v>14</v>
      </c>
      <c r="H68">
        <v>14</v>
      </c>
      <c r="I68">
        <v>14</v>
      </c>
      <c r="J68">
        <v>14</v>
      </c>
      <c r="K68">
        <v>14</v>
      </c>
      <c r="L68">
        <v>12</v>
      </c>
      <c r="M68">
        <v>13</v>
      </c>
      <c r="N68">
        <v>14</v>
      </c>
    </row>
    <row r="69" spans="1:30" x14ac:dyDescent="0.25">
      <c r="A69" s="4" t="s">
        <v>186</v>
      </c>
      <c r="B69" s="4" t="s">
        <v>194</v>
      </c>
      <c r="C69">
        <v>7</v>
      </c>
      <c r="D69">
        <v>7</v>
      </c>
      <c r="E69">
        <v>6</v>
      </c>
      <c r="F69">
        <v>6</v>
      </c>
      <c r="G69">
        <v>6</v>
      </c>
      <c r="H69">
        <v>5</v>
      </c>
      <c r="I69">
        <v>4</v>
      </c>
      <c r="J69">
        <v>6</v>
      </c>
      <c r="K69">
        <v>5</v>
      </c>
      <c r="L69">
        <v>6</v>
      </c>
      <c r="M69">
        <v>6</v>
      </c>
      <c r="N69">
        <v>5</v>
      </c>
    </row>
    <row r="71" spans="1:30" x14ac:dyDescent="0.25">
      <c r="A71" s="4" t="s">
        <v>195</v>
      </c>
    </row>
    <row r="72" spans="1:30" x14ac:dyDescent="0.25">
      <c r="A72" s="4" t="s">
        <v>186</v>
      </c>
      <c r="B72" s="4" t="s">
        <v>196</v>
      </c>
      <c r="C72" s="4" t="s">
        <v>1</v>
      </c>
      <c r="D72" s="4" t="s">
        <v>2</v>
      </c>
      <c r="E72" s="4" t="s">
        <v>3</v>
      </c>
      <c r="F72" s="4" t="s">
        <v>4</v>
      </c>
      <c r="G72" s="4" t="s">
        <v>5</v>
      </c>
      <c r="H72" s="4" t="s">
        <v>6</v>
      </c>
      <c r="I72" s="4" t="s">
        <v>7</v>
      </c>
      <c r="J72" s="4" t="s">
        <v>8</v>
      </c>
      <c r="K72" s="4" t="s">
        <v>9</v>
      </c>
      <c r="L72" s="4" t="s">
        <v>10</v>
      </c>
      <c r="M72" s="4" t="s">
        <v>11</v>
      </c>
      <c r="N72" s="4" t="s">
        <v>12</v>
      </c>
    </row>
    <row r="73" spans="1:30" x14ac:dyDescent="0.25">
      <c r="A73" s="4" t="s">
        <v>186</v>
      </c>
      <c r="B73" s="4" t="s">
        <v>197</v>
      </c>
      <c r="C73" s="4" t="s">
        <v>198</v>
      </c>
      <c r="D73" s="4" t="s">
        <v>198</v>
      </c>
      <c r="E73" s="4" t="s">
        <v>198</v>
      </c>
      <c r="F73" s="4" t="s">
        <v>198</v>
      </c>
      <c r="G73" s="4" t="s">
        <v>198</v>
      </c>
      <c r="H73" s="4" t="s">
        <v>198</v>
      </c>
      <c r="I73" s="4">
        <v>1</v>
      </c>
      <c r="J73" s="4">
        <v>13</v>
      </c>
      <c r="K73" s="4">
        <v>3</v>
      </c>
      <c r="L73" s="4">
        <v>8</v>
      </c>
      <c r="M73" s="4" t="s">
        <v>198</v>
      </c>
      <c r="N73" s="4" t="s">
        <v>198</v>
      </c>
    </row>
    <row r="74" spans="1:30" x14ac:dyDescent="0.25">
      <c r="A74" s="4" t="s">
        <v>186</v>
      </c>
      <c r="B74" s="4" t="s">
        <v>199</v>
      </c>
      <c r="C74" s="4" t="s">
        <v>198</v>
      </c>
      <c r="D74" s="4" t="s">
        <v>198</v>
      </c>
      <c r="E74" s="4" t="s">
        <v>198</v>
      </c>
      <c r="F74" s="4" t="s">
        <v>198</v>
      </c>
      <c r="G74" s="4" t="s">
        <v>198</v>
      </c>
      <c r="H74" s="4" t="s">
        <v>198</v>
      </c>
      <c r="I74" s="4" t="s">
        <v>198</v>
      </c>
      <c r="J74" s="4" t="s">
        <v>198</v>
      </c>
      <c r="K74" s="4" t="s">
        <v>198</v>
      </c>
      <c r="L74" s="4" t="s">
        <v>198</v>
      </c>
      <c r="M74" s="4" t="s">
        <v>198</v>
      </c>
      <c r="N74" s="4" t="s">
        <v>198</v>
      </c>
    </row>
    <row r="75" spans="1:30" x14ac:dyDescent="0.25">
      <c r="A75" s="4" t="s">
        <v>186</v>
      </c>
      <c r="B75" s="4" t="s">
        <v>200</v>
      </c>
      <c r="C75" s="4" t="s">
        <v>198</v>
      </c>
      <c r="D75" s="4" t="s">
        <v>198</v>
      </c>
      <c r="E75" s="4" t="s">
        <v>198</v>
      </c>
      <c r="F75" s="4" t="s">
        <v>198</v>
      </c>
      <c r="G75" s="4" t="s">
        <v>198</v>
      </c>
      <c r="H75" s="4" t="s">
        <v>198</v>
      </c>
      <c r="I75" s="4" t="s">
        <v>198</v>
      </c>
      <c r="J75" s="4" t="s">
        <v>198</v>
      </c>
      <c r="K75" s="4" t="s">
        <v>198</v>
      </c>
      <c r="L75" s="4" t="s">
        <v>198</v>
      </c>
      <c r="M75" s="4" t="s">
        <v>198</v>
      </c>
      <c r="N75" s="4" t="s">
        <v>198</v>
      </c>
    </row>
    <row r="76" spans="1:30" x14ac:dyDescent="0.25">
      <c r="A76" s="4" t="s">
        <v>186</v>
      </c>
      <c r="B76" s="4" t="s">
        <v>201</v>
      </c>
      <c r="C76" s="4" t="s">
        <v>198</v>
      </c>
      <c r="D76" s="4" t="s">
        <v>198</v>
      </c>
      <c r="E76" s="4" t="s">
        <v>198</v>
      </c>
      <c r="F76" s="4" t="s">
        <v>198</v>
      </c>
      <c r="G76" s="4" t="s">
        <v>198</v>
      </c>
      <c r="H76" s="4" t="s">
        <v>198</v>
      </c>
      <c r="I76" s="4" t="s">
        <v>198</v>
      </c>
      <c r="J76" s="4" t="s">
        <v>198</v>
      </c>
      <c r="K76" s="4" t="s">
        <v>198</v>
      </c>
      <c r="L76" s="4" t="s">
        <v>198</v>
      </c>
      <c r="M76" s="4" t="s">
        <v>198</v>
      </c>
      <c r="N76" s="4" t="s">
        <v>198</v>
      </c>
    </row>
    <row r="78" spans="1:30" x14ac:dyDescent="0.25">
      <c r="A78" s="4" t="s">
        <v>202</v>
      </c>
    </row>
    <row r="79" spans="1:30" x14ac:dyDescent="0.25">
      <c r="A79" s="4" t="s">
        <v>186</v>
      </c>
      <c r="B79" s="4" t="s">
        <v>0</v>
      </c>
      <c r="C79" s="4" t="s">
        <v>1</v>
      </c>
      <c r="D79" s="4" t="s">
        <v>2</v>
      </c>
      <c r="E79" s="4" t="s">
        <v>3</v>
      </c>
      <c r="F79" s="4" t="s">
        <v>4</v>
      </c>
      <c r="G79" s="4" t="s">
        <v>5</v>
      </c>
      <c r="H79" s="4" t="s">
        <v>6</v>
      </c>
      <c r="I79" s="4" t="s">
        <v>7</v>
      </c>
      <c r="J79" s="4" t="s">
        <v>8</v>
      </c>
      <c r="K79" s="4" t="s">
        <v>9</v>
      </c>
      <c r="L79" s="4" t="s">
        <v>10</v>
      </c>
      <c r="M79" s="4" t="s">
        <v>11</v>
      </c>
      <c r="N79" s="4" t="s">
        <v>12</v>
      </c>
    </row>
    <row r="80" spans="1:30" x14ac:dyDescent="0.25">
      <c r="A80" s="4" t="s">
        <v>186</v>
      </c>
      <c r="B80" s="4" t="s">
        <v>187</v>
      </c>
      <c r="C80">
        <v>21.1</v>
      </c>
      <c r="D80">
        <v>23.3</v>
      </c>
      <c r="E80">
        <v>22.2</v>
      </c>
      <c r="F80">
        <v>21.1</v>
      </c>
      <c r="G80">
        <v>22.2</v>
      </c>
      <c r="H80">
        <v>20.8</v>
      </c>
      <c r="I80">
        <v>23.9</v>
      </c>
      <c r="J80">
        <v>23.3</v>
      </c>
      <c r="K80">
        <v>24.4</v>
      </c>
      <c r="L80">
        <v>22.8</v>
      </c>
      <c r="M80">
        <v>21.7</v>
      </c>
      <c r="N80">
        <v>22.8</v>
      </c>
    </row>
    <row r="81" spans="1:14" x14ac:dyDescent="0.25">
      <c r="A81" s="4" t="s">
        <v>186</v>
      </c>
      <c r="B81" s="4" t="s">
        <v>188</v>
      </c>
      <c r="C81" s="65" t="s">
        <v>318</v>
      </c>
      <c r="D81" s="64">
        <v>0.6791666666666667</v>
      </c>
      <c r="E81" s="65">
        <v>0.5493055555555556</v>
      </c>
      <c r="F81" s="65">
        <v>1.0166666666666666</v>
      </c>
      <c r="G81" s="65" t="s">
        <v>355</v>
      </c>
      <c r="H81" s="65" t="s">
        <v>356</v>
      </c>
      <c r="I81" s="65">
        <v>0.84305555555555556</v>
      </c>
      <c r="J81" s="65">
        <v>0.80208333333333337</v>
      </c>
      <c r="K81" s="65">
        <v>0.96875</v>
      </c>
      <c r="L81" s="65">
        <v>1.0090277777777776</v>
      </c>
      <c r="M81" s="65">
        <v>1.2208333333333334</v>
      </c>
      <c r="N81" s="65" t="s">
        <v>357</v>
      </c>
    </row>
    <row r="83" spans="1:14" x14ac:dyDescent="0.25">
      <c r="A83" s="4" t="s">
        <v>186</v>
      </c>
      <c r="B83" s="4" t="s">
        <v>189</v>
      </c>
      <c r="C83">
        <v>8.9</v>
      </c>
      <c r="D83">
        <v>10</v>
      </c>
      <c r="E83">
        <v>10.6</v>
      </c>
      <c r="F83">
        <v>10</v>
      </c>
      <c r="G83">
        <v>13.9</v>
      </c>
      <c r="H83">
        <v>15.6</v>
      </c>
      <c r="I83">
        <v>15.6</v>
      </c>
      <c r="J83">
        <v>16.100000000000001</v>
      </c>
      <c r="K83">
        <v>16.100000000000001</v>
      </c>
      <c r="L83">
        <v>16.100000000000001</v>
      </c>
      <c r="M83">
        <v>13.3</v>
      </c>
      <c r="N83">
        <v>10.6</v>
      </c>
    </row>
    <row r="84" spans="1:14" x14ac:dyDescent="0.25">
      <c r="A84" s="4" t="s">
        <v>186</v>
      </c>
      <c r="B84" s="4" t="s">
        <v>188</v>
      </c>
      <c r="C84" s="65">
        <v>0.83611111111111114</v>
      </c>
      <c r="D84" s="65" t="s">
        <v>326</v>
      </c>
      <c r="E84" s="64" t="s">
        <v>358</v>
      </c>
      <c r="F84" s="4" t="s">
        <v>209</v>
      </c>
      <c r="G84" s="65" t="s">
        <v>359</v>
      </c>
      <c r="H84" s="4" t="s">
        <v>360</v>
      </c>
      <c r="I84" s="64">
        <v>0.75694444444444453</v>
      </c>
      <c r="J84" s="65">
        <v>0.92708333333333337</v>
      </c>
      <c r="K84" s="65">
        <v>1.1340277777777776</v>
      </c>
      <c r="L84" s="65">
        <v>0.71875</v>
      </c>
      <c r="M84" s="64">
        <v>1.0583333333333333</v>
      </c>
      <c r="N84" s="64">
        <v>0.80555555555555547</v>
      </c>
    </row>
    <row r="86" spans="1:14" x14ac:dyDescent="0.25">
      <c r="A86" s="4" t="s">
        <v>186</v>
      </c>
      <c r="B86" s="4" t="s">
        <v>191</v>
      </c>
      <c r="C86">
        <v>15.9</v>
      </c>
      <c r="D86">
        <v>18.2</v>
      </c>
      <c r="E86">
        <v>16.8</v>
      </c>
      <c r="F86">
        <v>16.5</v>
      </c>
      <c r="G86">
        <v>18.2</v>
      </c>
      <c r="H86">
        <v>18.7</v>
      </c>
      <c r="I86">
        <v>19.5</v>
      </c>
      <c r="J86">
        <v>19.600000000000001</v>
      </c>
      <c r="K86">
        <v>20.399999999999999</v>
      </c>
      <c r="L86">
        <v>19.7</v>
      </c>
      <c r="M86">
        <v>18.600000000000001</v>
      </c>
      <c r="N86">
        <v>17.7</v>
      </c>
    </row>
    <row r="88" spans="1:14" x14ac:dyDescent="0.25">
      <c r="A88" s="4" t="s">
        <v>361</v>
      </c>
    </row>
    <row r="89" spans="1:14" x14ac:dyDescent="0.25">
      <c r="A89" s="4" t="s">
        <v>362</v>
      </c>
    </row>
    <row r="91" spans="1:14" x14ac:dyDescent="0.25">
      <c r="A91" s="4" t="s">
        <v>206</v>
      </c>
    </row>
    <row r="92" spans="1:14" x14ac:dyDescent="0.25">
      <c r="A92" s="4" t="s">
        <v>186</v>
      </c>
      <c r="B92" s="4" t="s">
        <v>0</v>
      </c>
      <c r="C92" s="4" t="s">
        <v>1</v>
      </c>
      <c r="D92" s="4" t="s">
        <v>2</v>
      </c>
      <c r="E92" s="4" t="s">
        <v>3</v>
      </c>
      <c r="F92" s="4" t="s">
        <v>4</v>
      </c>
      <c r="G92" s="4" t="s">
        <v>5</v>
      </c>
      <c r="H92" s="4" t="s">
        <v>6</v>
      </c>
      <c r="I92" s="4" t="s">
        <v>7</v>
      </c>
      <c r="J92" s="4" t="s">
        <v>8</v>
      </c>
      <c r="K92" s="4" t="s">
        <v>9</v>
      </c>
      <c r="L92" s="4" t="s">
        <v>10</v>
      </c>
      <c r="M92" s="4" t="s">
        <v>11</v>
      </c>
      <c r="N92" s="4" t="s">
        <v>12</v>
      </c>
    </row>
    <row r="93" spans="1:14" x14ac:dyDescent="0.25">
      <c r="A93" s="4" t="s">
        <v>186</v>
      </c>
      <c r="B93" s="4" t="s">
        <v>207</v>
      </c>
      <c r="C93">
        <v>97</v>
      </c>
      <c r="D93">
        <v>100</v>
      </c>
      <c r="E93">
        <v>97</v>
      </c>
      <c r="F93">
        <v>93</v>
      </c>
      <c r="G93">
        <v>94</v>
      </c>
      <c r="H93">
        <v>93</v>
      </c>
      <c r="I93">
        <v>97</v>
      </c>
      <c r="J93">
        <v>94</v>
      </c>
      <c r="K93">
        <v>94</v>
      </c>
      <c r="L93">
        <v>94</v>
      </c>
      <c r="M93">
        <v>93</v>
      </c>
      <c r="N93">
        <v>93</v>
      </c>
    </row>
    <row r="94" spans="1:14" x14ac:dyDescent="0.25">
      <c r="A94" s="4" t="s">
        <v>186</v>
      </c>
      <c r="B94" s="4" t="s">
        <v>208</v>
      </c>
      <c r="C94" s="4" t="s">
        <v>363</v>
      </c>
      <c r="D94" s="65">
        <v>0.58402777777777781</v>
      </c>
      <c r="E94" s="65" t="s">
        <v>364</v>
      </c>
      <c r="F94" s="65">
        <v>0.8881944444444444</v>
      </c>
      <c r="G94" s="65">
        <v>0.41875000000000001</v>
      </c>
      <c r="H94" s="65" t="s">
        <v>365</v>
      </c>
      <c r="I94" s="65">
        <v>0.84930555555555554</v>
      </c>
      <c r="J94" s="64">
        <v>1.0430555555555556</v>
      </c>
      <c r="K94" s="65">
        <v>0.4201388888888889</v>
      </c>
      <c r="L94" s="65" t="s">
        <v>366</v>
      </c>
      <c r="M94" s="65">
        <v>0.46111111111111108</v>
      </c>
      <c r="N94" s="65">
        <v>1.2118055555555556</v>
      </c>
    </row>
    <row r="96" spans="1:14" x14ac:dyDescent="0.25">
      <c r="A96" s="4" t="s">
        <v>186</v>
      </c>
      <c r="B96" s="4" t="s">
        <v>210</v>
      </c>
      <c r="C96">
        <v>36</v>
      </c>
      <c r="D96">
        <v>40</v>
      </c>
      <c r="E96">
        <v>40</v>
      </c>
      <c r="F96">
        <v>35</v>
      </c>
      <c r="G96">
        <v>35</v>
      </c>
      <c r="H96">
        <v>46</v>
      </c>
      <c r="I96">
        <v>41</v>
      </c>
      <c r="J96">
        <v>38</v>
      </c>
      <c r="K96">
        <v>44</v>
      </c>
      <c r="L96">
        <v>39</v>
      </c>
      <c r="M96">
        <v>44</v>
      </c>
      <c r="N96">
        <v>41</v>
      </c>
    </row>
    <row r="97" spans="1:14" x14ac:dyDescent="0.25">
      <c r="A97" s="4" t="s">
        <v>186</v>
      </c>
      <c r="B97" s="4" t="s">
        <v>208</v>
      </c>
      <c r="C97" s="64">
        <v>0.84236111111111101</v>
      </c>
      <c r="D97" s="65">
        <v>0.46736111111111112</v>
      </c>
      <c r="E97" s="64">
        <v>1.2173611111111111</v>
      </c>
      <c r="F97" s="65" t="s">
        <v>203</v>
      </c>
      <c r="G97" s="65">
        <v>1.007638888888889</v>
      </c>
      <c r="H97" s="65" t="s">
        <v>367</v>
      </c>
      <c r="I97" s="65" t="s">
        <v>351</v>
      </c>
      <c r="J97" s="65">
        <v>0.96805555555555556</v>
      </c>
      <c r="K97" s="65" t="s">
        <v>204</v>
      </c>
      <c r="L97" s="65" t="s">
        <v>367</v>
      </c>
      <c r="M97" s="65" t="s">
        <v>312</v>
      </c>
      <c r="N97" s="65">
        <v>0.92638888888888893</v>
      </c>
    </row>
    <row r="99" spans="1:14" x14ac:dyDescent="0.25">
      <c r="A99" s="4" t="s">
        <v>186</v>
      </c>
      <c r="B99" s="4" t="s">
        <v>191</v>
      </c>
      <c r="C99">
        <v>68</v>
      </c>
      <c r="D99">
        <v>77</v>
      </c>
      <c r="E99">
        <v>69</v>
      </c>
      <c r="F99">
        <v>65</v>
      </c>
      <c r="G99">
        <v>67</v>
      </c>
      <c r="H99">
        <v>65</v>
      </c>
      <c r="I99">
        <v>65</v>
      </c>
      <c r="J99">
        <v>65</v>
      </c>
      <c r="K99">
        <v>69</v>
      </c>
      <c r="L99">
        <v>69</v>
      </c>
      <c r="M99">
        <v>70</v>
      </c>
      <c r="N99">
        <v>70</v>
      </c>
    </row>
    <row r="101" spans="1:14" x14ac:dyDescent="0.25">
      <c r="A101" s="4" t="s">
        <v>211</v>
      </c>
    </row>
    <row r="102" spans="1:14" x14ac:dyDescent="0.25">
      <c r="A102" s="4" t="s">
        <v>186</v>
      </c>
      <c r="B102" s="4" t="s">
        <v>0</v>
      </c>
      <c r="C102" s="4" t="s">
        <v>1</v>
      </c>
      <c r="D102" s="4" t="s">
        <v>2</v>
      </c>
      <c r="E102" s="4" t="s">
        <v>3</v>
      </c>
      <c r="F102" s="4" t="s">
        <v>4</v>
      </c>
      <c r="G102" s="4" t="s">
        <v>5</v>
      </c>
      <c r="H102" s="4" t="s">
        <v>6</v>
      </c>
      <c r="I102" s="4" t="s">
        <v>7</v>
      </c>
      <c r="J102" s="4" t="s">
        <v>8</v>
      </c>
      <c r="K102" s="4" t="s">
        <v>9</v>
      </c>
      <c r="L102" s="4" t="s">
        <v>10</v>
      </c>
      <c r="M102" s="4" t="s">
        <v>11</v>
      </c>
      <c r="N102" s="4" t="s">
        <v>12</v>
      </c>
    </row>
    <row r="103" spans="1:14" x14ac:dyDescent="0.25">
      <c r="A103" s="4" t="s">
        <v>186</v>
      </c>
      <c r="B103" s="4" t="s">
        <v>13</v>
      </c>
      <c r="C103">
        <v>75</v>
      </c>
      <c r="D103">
        <v>85</v>
      </c>
      <c r="E103">
        <v>78</v>
      </c>
      <c r="F103">
        <v>73</v>
      </c>
      <c r="G103">
        <v>76</v>
      </c>
      <c r="H103">
        <v>71</v>
      </c>
      <c r="I103">
        <v>73</v>
      </c>
      <c r="J103">
        <v>74</v>
      </c>
      <c r="K103">
        <v>76</v>
      </c>
      <c r="L103">
        <v>79</v>
      </c>
      <c r="M103">
        <v>77</v>
      </c>
      <c r="N103">
        <v>76</v>
      </c>
    </row>
    <row r="104" spans="1:14" x14ac:dyDescent="0.25">
      <c r="A104" s="4" t="s">
        <v>186</v>
      </c>
      <c r="B104" s="4" t="s">
        <v>14</v>
      </c>
      <c r="C104">
        <v>75</v>
      </c>
      <c r="D104">
        <v>86</v>
      </c>
      <c r="E104">
        <v>79</v>
      </c>
      <c r="F104">
        <v>73</v>
      </c>
      <c r="G104">
        <v>78</v>
      </c>
      <c r="H104">
        <v>72</v>
      </c>
      <c r="I104">
        <v>73</v>
      </c>
      <c r="J104">
        <v>75</v>
      </c>
      <c r="K104">
        <v>76</v>
      </c>
      <c r="L104">
        <v>81</v>
      </c>
      <c r="M104">
        <v>78</v>
      </c>
      <c r="N104">
        <v>78</v>
      </c>
    </row>
    <row r="105" spans="1:14" x14ac:dyDescent="0.25">
      <c r="A105" s="4" t="s">
        <v>186</v>
      </c>
      <c r="B105" s="4" t="s">
        <v>15</v>
      </c>
      <c r="C105">
        <v>76</v>
      </c>
      <c r="D105">
        <v>86</v>
      </c>
      <c r="E105">
        <v>80</v>
      </c>
      <c r="F105">
        <v>75</v>
      </c>
      <c r="G105">
        <v>79</v>
      </c>
      <c r="H105">
        <v>73</v>
      </c>
      <c r="I105">
        <v>74</v>
      </c>
      <c r="J105">
        <v>76</v>
      </c>
      <c r="K105">
        <v>77</v>
      </c>
      <c r="L105">
        <v>81</v>
      </c>
      <c r="M105">
        <v>79</v>
      </c>
      <c r="N105">
        <v>78</v>
      </c>
    </row>
    <row r="106" spans="1:14" x14ac:dyDescent="0.25">
      <c r="A106" s="4" t="s">
        <v>186</v>
      </c>
      <c r="B106" s="4" t="s">
        <v>16</v>
      </c>
      <c r="C106">
        <v>77</v>
      </c>
      <c r="D106">
        <v>88</v>
      </c>
      <c r="E106">
        <v>81</v>
      </c>
      <c r="F106">
        <v>75</v>
      </c>
      <c r="G106">
        <v>79</v>
      </c>
      <c r="H106">
        <v>74</v>
      </c>
      <c r="I106">
        <v>75</v>
      </c>
      <c r="J106">
        <v>77</v>
      </c>
      <c r="K106">
        <v>78</v>
      </c>
      <c r="L106">
        <v>82</v>
      </c>
      <c r="M106">
        <v>80</v>
      </c>
      <c r="N106">
        <v>79</v>
      </c>
    </row>
    <row r="107" spans="1:14" x14ac:dyDescent="0.25">
      <c r="A107" s="4" t="s">
        <v>186</v>
      </c>
      <c r="B107" s="4" t="s">
        <v>17</v>
      </c>
      <c r="C107">
        <v>78</v>
      </c>
      <c r="D107">
        <v>89</v>
      </c>
      <c r="E107">
        <v>82</v>
      </c>
      <c r="F107">
        <v>75</v>
      </c>
      <c r="G107">
        <v>79</v>
      </c>
      <c r="H107">
        <v>76</v>
      </c>
      <c r="I107">
        <v>75</v>
      </c>
      <c r="J107">
        <v>77</v>
      </c>
      <c r="K107">
        <v>79</v>
      </c>
      <c r="L107">
        <v>82</v>
      </c>
      <c r="M107">
        <v>80</v>
      </c>
      <c r="N107">
        <v>80</v>
      </c>
    </row>
    <row r="108" spans="1:14" x14ac:dyDescent="0.25">
      <c r="A108" s="4" t="s">
        <v>186</v>
      </c>
      <c r="B108" s="4" t="s">
        <v>18</v>
      </c>
      <c r="C108">
        <v>79</v>
      </c>
      <c r="D108">
        <v>89</v>
      </c>
      <c r="E108">
        <v>82</v>
      </c>
      <c r="F108">
        <v>76</v>
      </c>
      <c r="G108">
        <v>80</v>
      </c>
      <c r="H108">
        <v>73</v>
      </c>
      <c r="I108">
        <v>75</v>
      </c>
      <c r="J108">
        <v>78</v>
      </c>
      <c r="K108">
        <v>77</v>
      </c>
      <c r="L108">
        <v>83</v>
      </c>
      <c r="M108">
        <v>80</v>
      </c>
      <c r="N108">
        <v>79</v>
      </c>
    </row>
    <row r="109" spans="1:14" x14ac:dyDescent="0.25">
      <c r="A109" s="4" t="s">
        <v>186</v>
      </c>
      <c r="B109" s="4" t="s">
        <v>19</v>
      </c>
      <c r="C109">
        <v>80</v>
      </c>
      <c r="D109">
        <v>88</v>
      </c>
      <c r="E109">
        <v>80</v>
      </c>
      <c r="F109">
        <v>75</v>
      </c>
      <c r="G109">
        <v>75</v>
      </c>
      <c r="H109">
        <v>70</v>
      </c>
      <c r="I109">
        <v>72</v>
      </c>
      <c r="J109">
        <v>76</v>
      </c>
      <c r="K109">
        <v>77</v>
      </c>
      <c r="L109">
        <v>83</v>
      </c>
      <c r="M109">
        <v>80</v>
      </c>
      <c r="N109">
        <v>78</v>
      </c>
    </row>
    <row r="110" spans="1:14" x14ac:dyDescent="0.25">
      <c r="A110" s="4" t="s">
        <v>186</v>
      </c>
      <c r="B110" s="4" t="s">
        <v>20</v>
      </c>
      <c r="C110">
        <v>75</v>
      </c>
      <c r="D110">
        <v>84</v>
      </c>
      <c r="E110">
        <v>73</v>
      </c>
      <c r="F110">
        <v>68</v>
      </c>
      <c r="G110">
        <v>66</v>
      </c>
      <c r="H110">
        <v>68</v>
      </c>
      <c r="I110">
        <v>66</v>
      </c>
      <c r="J110">
        <v>68</v>
      </c>
      <c r="K110">
        <v>72</v>
      </c>
      <c r="L110">
        <v>70</v>
      </c>
      <c r="M110">
        <v>74</v>
      </c>
      <c r="N110">
        <v>77</v>
      </c>
    </row>
    <row r="111" spans="1:14" x14ac:dyDescent="0.25">
      <c r="A111" s="4" t="s">
        <v>186</v>
      </c>
      <c r="B111" s="4" t="s">
        <v>21</v>
      </c>
      <c r="C111">
        <v>66</v>
      </c>
      <c r="D111">
        <v>72</v>
      </c>
      <c r="E111">
        <v>64</v>
      </c>
      <c r="F111">
        <v>63</v>
      </c>
      <c r="G111">
        <v>60</v>
      </c>
      <c r="H111">
        <v>63</v>
      </c>
      <c r="I111">
        <v>61</v>
      </c>
      <c r="J111">
        <v>60</v>
      </c>
      <c r="K111">
        <v>66</v>
      </c>
      <c r="L111">
        <v>60</v>
      </c>
      <c r="M111">
        <v>68</v>
      </c>
      <c r="N111">
        <v>71</v>
      </c>
    </row>
    <row r="112" spans="1:14" x14ac:dyDescent="0.25">
      <c r="A112" s="4" t="s">
        <v>186</v>
      </c>
      <c r="B112" s="4" t="s">
        <v>22</v>
      </c>
      <c r="C112">
        <v>60</v>
      </c>
      <c r="D112">
        <v>67</v>
      </c>
      <c r="E112">
        <v>58</v>
      </c>
      <c r="F112">
        <v>57</v>
      </c>
      <c r="G112">
        <v>55</v>
      </c>
      <c r="H112">
        <v>59</v>
      </c>
      <c r="I112">
        <v>58</v>
      </c>
      <c r="J112">
        <v>55</v>
      </c>
      <c r="K112">
        <v>61</v>
      </c>
      <c r="L112">
        <v>56</v>
      </c>
      <c r="M112">
        <v>62</v>
      </c>
      <c r="N112">
        <v>66</v>
      </c>
    </row>
    <row r="113" spans="1:14" x14ac:dyDescent="0.25">
      <c r="A113" s="4" t="s">
        <v>186</v>
      </c>
      <c r="B113" s="4" t="s">
        <v>23</v>
      </c>
      <c r="C113">
        <v>57</v>
      </c>
      <c r="D113">
        <v>64</v>
      </c>
      <c r="E113">
        <v>56</v>
      </c>
      <c r="F113">
        <v>55</v>
      </c>
      <c r="G113">
        <v>52</v>
      </c>
      <c r="H113">
        <v>55</v>
      </c>
      <c r="I113">
        <v>54</v>
      </c>
      <c r="J113">
        <v>53</v>
      </c>
      <c r="K113">
        <v>59</v>
      </c>
      <c r="L113">
        <v>54</v>
      </c>
      <c r="M113">
        <v>59</v>
      </c>
      <c r="N113">
        <v>60</v>
      </c>
    </row>
    <row r="114" spans="1:14" x14ac:dyDescent="0.25">
      <c r="A114" s="4" t="s">
        <v>186</v>
      </c>
      <c r="B114" s="4" t="s">
        <v>24</v>
      </c>
      <c r="C114">
        <v>56</v>
      </c>
      <c r="D114">
        <v>65</v>
      </c>
      <c r="E114">
        <v>55</v>
      </c>
      <c r="F114">
        <v>53</v>
      </c>
      <c r="G114">
        <v>53</v>
      </c>
      <c r="H114">
        <v>54</v>
      </c>
      <c r="I114">
        <v>52</v>
      </c>
      <c r="J114">
        <v>50</v>
      </c>
      <c r="K114">
        <v>56</v>
      </c>
      <c r="L114">
        <v>52</v>
      </c>
      <c r="M114">
        <v>57</v>
      </c>
      <c r="N114">
        <v>59</v>
      </c>
    </row>
    <row r="115" spans="1:14" x14ac:dyDescent="0.25">
      <c r="A115" s="4" t="s">
        <v>186</v>
      </c>
      <c r="B115" s="4" t="s">
        <v>25</v>
      </c>
      <c r="C115">
        <v>56</v>
      </c>
      <c r="D115">
        <v>63</v>
      </c>
      <c r="E115">
        <v>56</v>
      </c>
      <c r="F115">
        <v>51</v>
      </c>
      <c r="G115">
        <v>53</v>
      </c>
      <c r="H115">
        <v>54</v>
      </c>
      <c r="I115">
        <v>53</v>
      </c>
      <c r="J115">
        <v>49</v>
      </c>
      <c r="K115">
        <v>56</v>
      </c>
      <c r="L115">
        <v>53</v>
      </c>
      <c r="M115">
        <v>57</v>
      </c>
      <c r="N115">
        <v>59</v>
      </c>
    </row>
    <row r="116" spans="1:14" x14ac:dyDescent="0.25">
      <c r="A116" s="4" t="s">
        <v>186</v>
      </c>
      <c r="B116" s="4" t="s">
        <v>26</v>
      </c>
      <c r="C116">
        <v>55</v>
      </c>
      <c r="D116">
        <v>63</v>
      </c>
      <c r="E116">
        <v>55</v>
      </c>
      <c r="F116">
        <v>52</v>
      </c>
      <c r="G116">
        <v>53</v>
      </c>
      <c r="H116">
        <v>53</v>
      </c>
      <c r="I116">
        <v>52</v>
      </c>
      <c r="J116">
        <v>50</v>
      </c>
      <c r="K116">
        <v>56</v>
      </c>
      <c r="L116">
        <v>52</v>
      </c>
      <c r="M116">
        <v>56</v>
      </c>
      <c r="N116">
        <v>58</v>
      </c>
    </row>
    <row r="117" spans="1:14" x14ac:dyDescent="0.25">
      <c r="A117" s="4" t="s">
        <v>186</v>
      </c>
      <c r="B117" s="4" t="s">
        <v>27</v>
      </c>
      <c r="C117">
        <v>57</v>
      </c>
      <c r="D117">
        <v>63</v>
      </c>
      <c r="E117">
        <v>56</v>
      </c>
      <c r="F117">
        <v>53</v>
      </c>
      <c r="G117">
        <v>54</v>
      </c>
      <c r="H117">
        <v>54</v>
      </c>
      <c r="I117">
        <v>53</v>
      </c>
      <c r="J117">
        <v>49</v>
      </c>
      <c r="K117">
        <v>56</v>
      </c>
      <c r="L117">
        <v>54</v>
      </c>
      <c r="M117">
        <v>56</v>
      </c>
      <c r="N117">
        <v>59</v>
      </c>
    </row>
    <row r="118" spans="1:14" x14ac:dyDescent="0.25">
      <c r="A118" s="4" t="s">
        <v>186</v>
      </c>
      <c r="B118" s="4" t="s">
        <v>28</v>
      </c>
      <c r="C118">
        <v>58</v>
      </c>
      <c r="D118">
        <v>64</v>
      </c>
      <c r="E118">
        <v>58</v>
      </c>
      <c r="F118">
        <v>52</v>
      </c>
      <c r="G118">
        <v>55</v>
      </c>
      <c r="H118">
        <v>56</v>
      </c>
      <c r="I118">
        <v>54</v>
      </c>
      <c r="J118">
        <v>52</v>
      </c>
      <c r="K118">
        <v>59</v>
      </c>
      <c r="L118">
        <v>56</v>
      </c>
      <c r="M118">
        <v>60</v>
      </c>
      <c r="N118">
        <v>61</v>
      </c>
    </row>
    <row r="119" spans="1:14" x14ac:dyDescent="0.25">
      <c r="A119" s="4" t="s">
        <v>186</v>
      </c>
      <c r="B119" s="4" t="s">
        <v>29</v>
      </c>
      <c r="C119">
        <v>62</v>
      </c>
      <c r="D119">
        <v>67</v>
      </c>
      <c r="E119">
        <v>59</v>
      </c>
      <c r="F119">
        <v>56</v>
      </c>
      <c r="G119">
        <v>59</v>
      </c>
      <c r="H119">
        <v>57</v>
      </c>
      <c r="I119">
        <v>56</v>
      </c>
      <c r="J119">
        <v>55</v>
      </c>
      <c r="K119">
        <v>62</v>
      </c>
      <c r="L119">
        <v>61</v>
      </c>
      <c r="M119">
        <v>63</v>
      </c>
      <c r="N119">
        <v>62</v>
      </c>
    </row>
    <row r="120" spans="1:14" x14ac:dyDescent="0.25">
      <c r="A120" s="4" t="s">
        <v>186</v>
      </c>
      <c r="B120" s="4" t="s">
        <v>30</v>
      </c>
      <c r="C120">
        <v>65</v>
      </c>
      <c r="D120">
        <v>72</v>
      </c>
      <c r="E120">
        <v>63</v>
      </c>
      <c r="F120">
        <v>61</v>
      </c>
      <c r="G120">
        <v>62</v>
      </c>
      <c r="H120">
        <v>61</v>
      </c>
      <c r="I120">
        <v>62</v>
      </c>
      <c r="J120">
        <v>61</v>
      </c>
      <c r="K120">
        <v>64</v>
      </c>
      <c r="L120">
        <v>66</v>
      </c>
      <c r="M120">
        <v>68</v>
      </c>
      <c r="N120">
        <v>65</v>
      </c>
    </row>
    <row r="121" spans="1:14" x14ac:dyDescent="0.25">
      <c r="A121" s="4" t="s">
        <v>186</v>
      </c>
      <c r="B121" s="4" t="s">
        <v>31</v>
      </c>
      <c r="C121">
        <v>68</v>
      </c>
      <c r="D121">
        <v>77</v>
      </c>
      <c r="E121">
        <v>68</v>
      </c>
      <c r="F121">
        <v>67</v>
      </c>
      <c r="G121">
        <v>67</v>
      </c>
      <c r="H121">
        <v>65</v>
      </c>
      <c r="I121">
        <v>67</v>
      </c>
      <c r="J121">
        <v>66</v>
      </c>
      <c r="K121">
        <v>68</v>
      </c>
      <c r="L121">
        <v>70</v>
      </c>
      <c r="M121">
        <v>71</v>
      </c>
      <c r="N121">
        <v>68</v>
      </c>
    </row>
    <row r="122" spans="1:14" x14ac:dyDescent="0.25">
      <c r="A122" s="4" t="s">
        <v>186</v>
      </c>
      <c r="B122" s="4" t="s">
        <v>32</v>
      </c>
      <c r="C122">
        <v>69</v>
      </c>
      <c r="D122">
        <v>79</v>
      </c>
      <c r="E122">
        <v>71</v>
      </c>
      <c r="F122">
        <v>69</v>
      </c>
      <c r="G122">
        <v>70</v>
      </c>
      <c r="H122">
        <v>69</v>
      </c>
      <c r="I122">
        <v>70</v>
      </c>
      <c r="J122">
        <v>70</v>
      </c>
      <c r="K122">
        <v>72</v>
      </c>
      <c r="L122">
        <v>71</v>
      </c>
      <c r="M122">
        <v>72</v>
      </c>
      <c r="N122">
        <v>71</v>
      </c>
    </row>
    <row r="123" spans="1:14" x14ac:dyDescent="0.25">
      <c r="A123" s="4" t="s">
        <v>186</v>
      </c>
      <c r="B123" s="4" t="s">
        <v>33</v>
      </c>
      <c r="C123">
        <v>69</v>
      </c>
      <c r="D123">
        <v>81</v>
      </c>
      <c r="E123">
        <v>72</v>
      </c>
      <c r="F123">
        <v>70</v>
      </c>
      <c r="G123">
        <v>71</v>
      </c>
      <c r="H123">
        <v>70</v>
      </c>
      <c r="I123">
        <v>71</v>
      </c>
      <c r="J123">
        <v>72</v>
      </c>
      <c r="K123">
        <v>74</v>
      </c>
      <c r="L123">
        <v>73</v>
      </c>
      <c r="M123">
        <v>72</v>
      </c>
      <c r="N123">
        <v>72</v>
      </c>
    </row>
    <row r="124" spans="1:14" x14ac:dyDescent="0.25">
      <c r="A124" s="4" t="s">
        <v>186</v>
      </c>
      <c r="B124" s="4" t="s">
        <v>34</v>
      </c>
      <c r="C124">
        <v>71</v>
      </c>
      <c r="D124">
        <v>83</v>
      </c>
      <c r="E124">
        <v>75</v>
      </c>
      <c r="F124">
        <v>71</v>
      </c>
      <c r="G124">
        <v>73</v>
      </c>
      <c r="H124">
        <v>70</v>
      </c>
      <c r="I124">
        <v>72</v>
      </c>
      <c r="J124">
        <v>73</v>
      </c>
      <c r="K124">
        <v>74</v>
      </c>
      <c r="L124">
        <v>76</v>
      </c>
      <c r="M124">
        <v>74</v>
      </c>
      <c r="N124">
        <v>73</v>
      </c>
    </row>
    <row r="125" spans="1:14" x14ac:dyDescent="0.25">
      <c r="A125" s="4" t="s">
        <v>186</v>
      </c>
      <c r="B125" s="4" t="s">
        <v>35</v>
      </c>
      <c r="C125">
        <v>72</v>
      </c>
      <c r="D125">
        <v>84</v>
      </c>
      <c r="E125">
        <v>77</v>
      </c>
      <c r="F125">
        <v>72</v>
      </c>
      <c r="G125">
        <v>74</v>
      </c>
      <c r="H125">
        <v>70</v>
      </c>
      <c r="I125">
        <v>72</v>
      </c>
      <c r="J125">
        <v>73</v>
      </c>
      <c r="K125">
        <v>75</v>
      </c>
      <c r="L125">
        <v>77</v>
      </c>
      <c r="M125">
        <v>76</v>
      </c>
      <c r="N125">
        <v>73</v>
      </c>
    </row>
    <row r="126" spans="1:14" x14ac:dyDescent="0.25">
      <c r="A126" s="4" t="s">
        <v>186</v>
      </c>
      <c r="B126" s="4" t="s">
        <v>36</v>
      </c>
      <c r="C126">
        <v>72</v>
      </c>
      <c r="D126">
        <v>85</v>
      </c>
      <c r="E126">
        <v>77</v>
      </c>
      <c r="F126">
        <v>74</v>
      </c>
      <c r="G126">
        <v>75</v>
      </c>
      <c r="H126">
        <v>71</v>
      </c>
      <c r="I126">
        <v>73</v>
      </c>
      <c r="J126">
        <v>73</v>
      </c>
      <c r="K126">
        <v>76</v>
      </c>
      <c r="L126">
        <v>78</v>
      </c>
      <c r="M126">
        <v>77</v>
      </c>
      <c r="N126">
        <v>75</v>
      </c>
    </row>
    <row r="127" spans="1:14" x14ac:dyDescent="0.25">
      <c r="A127" s="4" t="s">
        <v>186</v>
      </c>
      <c r="B127" s="4" t="s">
        <v>193</v>
      </c>
      <c r="C127">
        <v>7</v>
      </c>
      <c r="D127">
        <v>6</v>
      </c>
      <c r="E127">
        <v>5</v>
      </c>
      <c r="F127">
        <v>6</v>
      </c>
      <c r="G127">
        <v>6</v>
      </c>
      <c r="H127">
        <v>5</v>
      </c>
      <c r="I127">
        <v>4</v>
      </c>
      <c r="J127">
        <v>6</v>
      </c>
      <c r="K127">
        <v>5</v>
      </c>
      <c r="L127">
        <v>6</v>
      </c>
      <c r="M127">
        <v>6</v>
      </c>
      <c r="N127">
        <v>5</v>
      </c>
    </row>
    <row r="128" spans="1:14" x14ac:dyDescent="0.25">
      <c r="A128" s="4" t="s">
        <v>186</v>
      </c>
      <c r="B128" s="4" t="s">
        <v>194</v>
      </c>
      <c r="C128">
        <v>14</v>
      </c>
      <c r="D128">
        <v>15</v>
      </c>
      <c r="E128">
        <v>14</v>
      </c>
      <c r="F128">
        <v>13</v>
      </c>
      <c r="G128">
        <v>11</v>
      </c>
      <c r="H128">
        <v>14</v>
      </c>
      <c r="I128">
        <v>14</v>
      </c>
      <c r="J128">
        <v>13</v>
      </c>
      <c r="K128">
        <v>14</v>
      </c>
      <c r="L128">
        <v>12</v>
      </c>
      <c r="M128">
        <v>14</v>
      </c>
      <c r="N128">
        <v>14</v>
      </c>
    </row>
    <row r="130" spans="1:14" x14ac:dyDescent="0.25">
      <c r="A130" s="4" t="s">
        <v>212</v>
      </c>
    </row>
    <row r="131" spans="1:14" x14ac:dyDescent="0.25">
      <c r="A131" s="4" t="s">
        <v>186</v>
      </c>
      <c r="B131" s="4" t="s">
        <v>0</v>
      </c>
      <c r="C131" s="4" t="s">
        <v>1</v>
      </c>
      <c r="D131" s="4" t="s">
        <v>2</v>
      </c>
      <c r="E131" s="4" t="s">
        <v>3</v>
      </c>
      <c r="F131" s="4" t="s">
        <v>4</v>
      </c>
      <c r="G131" s="4" t="s">
        <v>5</v>
      </c>
      <c r="H131" s="4" t="s">
        <v>6</v>
      </c>
      <c r="I131" s="4" t="s">
        <v>7</v>
      </c>
      <c r="J131" s="4" t="s">
        <v>8</v>
      </c>
      <c r="K131" s="4" t="s">
        <v>9</v>
      </c>
      <c r="L131" s="4" t="s">
        <v>10</v>
      </c>
      <c r="M131" s="4" t="s">
        <v>11</v>
      </c>
      <c r="N131" s="4" t="s">
        <v>12</v>
      </c>
    </row>
    <row r="132" spans="1:14" x14ac:dyDescent="0.25">
      <c r="A132" s="4" t="s">
        <v>186</v>
      </c>
      <c r="B132" s="4" t="s">
        <v>213</v>
      </c>
      <c r="C132">
        <v>1.9</v>
      </c>
      <c r="D132">
        <v>2.2000000000000002</v>
      </c>
      <c r="E132">
        <v>2</v>
      </c>
      <c r="F132">
        <v>1.9</v>
      </c>
      <c r="G132">
        <v>2.1</v>
      </c>
      <c r="H132">
        <v>2.1</v>
      </c>
      <c r="I132">
        <v>2.2000000000000002</v>
      </c>
      <c r="J132">
        <v>2.2000000000000002</v>
      </c>
      <c r="K132">
        <v>2.2999999999999998</v>
      </c>
      <c r="L132">
        <v>2.2999999999999998</v>
      </c>
      <c r="M132">
        <v>2.1</v>
      </c>
      <c r="N132">
        <v>2.1</v>
      </c>
    </row>
    <row r="134" spans="1:14" x14ac:dyDescent="0.25">
      <c r="A134" s="4" t="s">
        <v>214</v>
      </c>
    </row>
    <row r="135" spans="1:14" x14ac:dyDescent="0.25">
      <c r="A135" s="4" t="s">
        <v>186</v>
      </c>
      <c r="B135" s="4" t="s">
        <v>0</v>
      </c>
      <c r="C135" s="4" t="s">
        <v>1</v>
      </c>
      <c r="D135" s="4" t="s">
        <v>2</v>
      </c>
      <c r="E135" s="4" t="s">
        <v>3</v>
      </c>
      <c r="F135" s="4" t="s">
        <v>4</v>
      </c>
      <c r="G135" s="4" t="s">
        <v>5</v>
      </c>
      <c r="H135" s="4" t="s">
        <v>6</v>
      </c>
      <c r="I135" s="4" t="s">
        <v>7</v>
      </c>
      <c r="J135" s="4" t="s">
        <v>8</v>
      </c>
      <c r="K135" s="4" t="s">
        <v>9</v>
      </c>
      <c r="L135" s="4" t="s">
        <v>10</v>
      </c>
      <c r="M135" s="4" t="s">
        <v>11</v>
      </c>
      <c r="N135" s="4" t="s">
        <v>12</v>
      </c>
    </row>
    <row r="136" spans="1:14" x14ac:dyDescent="0.25">
      <c r="A136" s="4" t="s">
        <v>186</v>
      </c>
      <c r="B136" s="4" t="s">
        <v>215</v>
      </c>
      <c r="C136" s="4" t="s">
        <v>198</v>
      </c>
      <c r="D136" s="4" t="s">
        <v>198</v>
      </c>
      <c r="E136" s="4" t="s">
        <v>198</v>
      </c>
      <c r="F136" s="4" t="s">
        <v>198</v>
      </c>
      <c r="G136" s="4" t="s">
        <v>198</v>
      </c>
      <c r="H136" s="4" t="s">
        <v>198</v>
      </c>
      <c r="I136" s="4" t="s">
        <v>198</v>
      </c>
      <c r="J136" s="4" t="s">
        <v>198</v>
      </c>
      <c r="K136" s="4" t="s">
        <v>198</v>
      </c>
      <c r="L136" s="4" t="s">
        <v>198</v>
      </c>
      <c r="M136" s="4" t="s">
        <v>198</v>
      </c>
      <c r="N136" s="4" t="s">
        <v>198</v>
      </c>
    </row>
    <row r="137" spans="1:14" x14ac:dyDescent="0.25">
      <c r="A137" s="4" t="s">
        <v>186</v>
      </c>
      <c r="B137" s="4" t="s">
        <v>188</v>
      </c>
      <c r="C137" s="65" t="s">
        <v>198</v>
      </c>
      <c r="D137" s="65" t="s">
        <v>198</v>
      </c>
      <c r="E137" s="65" t="s">
        <v>198</v>
      </c>
      <c r="F137" s="65" t="s">
        <v>198</v>
      </c>
      <c r="G137" s="65" t="s">
        <v>198</v>
      </c>
      <c r="H137" s="4" t="s">
        <v>198</v>
      </c>
      <c r="I137" s="65" t="s">
        <v>198</v>
      </c>
      <c r="J137" s="65" t="s">
        <v>198</v>
      </c>
      <c r="K137" s="65" t="s">
        <v>198</v>
      </c>
      <c r="L137" s="65" t="s">
        <v>198</v>
      </c>
      <c r="M137" s="64" t="s">
        <v>198</v>
      </c>
      <c r="N137" s="64" t="s">
        <v>198</v>
      </c>
    </row>
    <row r="139" spans="1:14" x14ac:dyDescent="0.25">
      <c r="A139" s="4" t="s">
        <v>186</v>
      </c>
      <c r="B139" s="4" t="s">
        <v>217</v>
      </c>
      <c r="C139" s="4" t="s">
        <v>198</v>
      </c>
      <c r="D139" s="4" t="s">
        <v>198</v>
      </c>
      <c r="E139" s="4" t="s">
        <v>198</v>
      </c>
      <c r="F139" s="4" t="s">
        <v>198</v>
      </c>
      <c r="G139" s="4" t="s">
        <v>198</v>
      </c>
      <c r="H139" s="4" t="s">
        <v>198</v>
      </c>
      <c r="I139" s="4" t="s">
        <v>198</v>
      </c>
      <c r="J139" s="4" t="s">
        <v>198</v>
      </c>
      <c r="K139" s="4" t="s">
        <v>198</v>
      </c>
      <c r="L139" s="4" t="s">
        <v>198</v>
      </c>
      <c r="M139" s="4" t="s">
        <v>198</v>
      </c>
      <c r="N139" s="4" t="s">
        <v>198</v>
      </c>
    </row>
    <row r="140" spans="1:14" x14ac:dyDescent="0.25">
      <c r="A140" s="4" t="s">
        <v>186</v>
      </c>
      <c r="B140" s="4" t="s">
        <v>218</v>
      </c>
      <c r="C140" s="4" t="s">
        <v>198</v>
      </c>
      <c r="D140" s="4" t="s">
        <v>198</v>
      </c>
      <c r="E140" s="4" t="s">
        <v>198</v>
      </c>
      <c r="F140" s="4" t="s">
        <v>198</v>
      </c>
      <c r="G140" s="4" t="s">
        <v>198</v>
      </c>
      <c r="H140" s="4" t="s">
        <v>198</v>
      </c>
      <c r="I140" s="4" t="s">
        <v>198</v>
      </c>
      <c r="J140" s="4" t="s">
        <v>198</v>
      </c>
      <c r="K140" s="4" t="s">
        <v>198</v>
      </c>
      <c r="L140" s="4" t="s">
        <v>198</v>
      </c>
      <c r="M140" s="4" t="s">
        <v>198</v>
      </c>
      <c r="N140" s="4" t="s">
        <v>198</v>
      </c>
    </row>
    <row r="141" spans="1:14" x14ac:dyDescent="0.25">
      <c r="A141" s="4" t="s">
        <v>186</v>
      </c>
      <c r="B141" s="4" t="s">
        <v>219</v>
      </c>
      <c r="C141" s="4" t="s">
        <v>198</v>
      </c>
      <c r="D141" s="4" t="s">
        <v>198</v>
      </c>
      <c r="E141" s="4" t="s">
        <v>198</v>
      </c>
      <c r="F141" s="4" t="s">
        <v>198</v>
      </c>
      <c r="G141" s="4" t="s">
        <v>198</v>
      </c>
      <c r="H141" s="4" t="s">
        <v>198</v>
      </c>
      <c r="I141" s="4" t="s">
        <v>198</v>
      </c>
      <c r="J141" s="4" t="s">
        <v>198</v>
      </c>
      <c r="K141" s="4" t="s">
        <v>198</v>
      </c>
      <c r="L141" s="4" t="s">
        <v>198</v>
      </c>
      <c r="M141" s="4" t="s">
        <v>198</v>
      </c>
      <c r="N141" s="4" t="s">
        <v>198</v>
      </c>
    </row>
    <row r="143" spans="1:14" x14ac:dyDescent="0.25">
      <c r="A143" s="4" t="s">
        <v>186</v>
      </c>
      <c r="B143" s="4" t="s">
        <v>220</v>
      </c>
      <c r="C143" s="4">
        <v>31</v>
      </c>
      <c r="D143" s="4">
        <v>31</v>
      </c>
      <c r="E143" s="4">
        <v>31</v>
      </c>
      <c r="F143" s="4">
        <v>31</v>
      </c>
      <c r="G143" s="4">
        <v>32</v>
      </c>
      <c r="H143" s="4">
        <v>32</v>
      </c>
      <c r="I143">
        <v>34</v>
      </c>
      <c r="J143">
        <v>37</v>
      </c>
      <c r="K143" s="4">
        <v>36</v>
      </c>
      <c r="L143" s="4">
        <v>36</v>
      </c>
      <c r="M143" s="4">
        <v>33</v>
      </c>
      <c r="N143" s="4">
        <v>32</v>
      </c>
    </row>
    <row r="144" spans="1:14" x14ac:dyDescent="0.25">
      <c r="A144" s="4" t="s">
        <v>186</v>
      </c>
      <c r="B144" s="4" t="s">
        <v>188</v>
      </c>
      <c r="C144" s="4" t="s">
        <v>350</v>
      </c>
      <c r="D144" s="65">
        <v>0.67708333333333337</v>
      </c>
      <c r="E144" s="64">
        <v>0.55138888888888882</v>
      </c>
      <c r="F144" s="64">
        <v>1.0097222222222222</v>
      </c>
      <c r="G144" s="65">
        <v>0.76041666666666663</v>
      </c>
      <c r="H144" s="64">
        <v>1.2159722222222222</v>
      </c>
      <c r="I144" s="65">
        <v>0.42708333333333331</v>
      </c>
      <c r="J144" s="64">
        <v>0.80208333333333337</v>
      </c>
      <c r="K144" s="65" t="s">
        <v>350</v>
      </c>
      <c r="L144" s="64">
        <v>0.63472222222222219</v>
      </c>
      <c r="M144" s="65">
        <v>0.92569444444444438</v>
      </c>
      <c r="N144" s="65">
        <v>0.55138888888888882</v>
      </c>
    </row>
    <row r="146" spans="1:14" x14ac:dyDescent="0.25">
      <c r="A146" s="4" t="s">
        <v>186</v>
      </c>
      <c r="B146" s="4" t="s">
        <v>221</v>
      </c>
      <c r="C146" s="4">
        <v>29</v>
      </c>
      <c r="D146" s="4">
        <v>29</v>
      </c>
      <c r="E146" s="4">
        <v>29</v>
      </c>
      <c r="F146" s="4">
        <v>29</v>
      </c>
      <c r="G146" s="4">
        <v>30</v>
      </c>
      <c r="H146" s="4">
        <v>30</v>
      </c>
      <c r="I146">
        <v>31</v>
      </c>
      <c r="J146">
        <v>32</v>
      </c>
      <c r="K146" s="4">
        <v>31</v>
      </c>
      <c r="L146" s="4">
        <v>31</v>
      </c>
      <c r="M146" s="4">
        <v>30</v>
      </c>
      <c r="N146" s="4">
        <v>30</v>
      </c>
    </row>
    <row r="147" spans="1:14" x14ac:dyDescent="0.25">
      <c r="A147" s="4" t="s">
        <v>186</v>
      </c>
      <c r="B147" s="4" t="s">
        <v>222</v>
      </c>
      <c r="C147" s="4">
        <v>1</v>
      </c>
      <c r="D147" s="4">
        <v>2</v>
      </c>
      <c r="E147" s="4">
        <v>1</v>
      </c>
      <c r="F147" s="4">
        <v>1</v>
      </c>
      <c r="G147" s="4">
        <v>1</v>
      </c>
      <c r="H147" s="4">
        <v>1</v>
      </c>
      <c r="I147">
        <v>1</v>
      </c>
      <c r="J147">
        <v>2</v>
      </c>
      <c r="K147" s="4">
        <v>2</v>
      </c>
      <c r="L147" s="4">
        <v>2</v>
      </c>
      <c r="M147" s="4">
        <v>1</v>
      </c>
      <c r="N147" s="4">
        <v>1</v>
      </c>
    </row>
    <row r="148" spans="1:14" x14ac:dyDescent="0.25">
      <c r="A148" s="4" t="s">
        <v>186</v>
      </c>
      <c r="B148" s="4" t="s">
        <v>223</v>
      </c>
      <c r="C148" s="4">
        <v>56</v>
      </c>
      <c r="D148" s="4">
        <v>63</v>
      </c>
      <c r="E148" s="4">
        <v>105</v>
      </c>
      <c r="F148" s="4">
        <v>117</v>
      </c>
      <c r="G148" s="4">
        <v>239</v>
      </c>
      <c r="H148" s="4">
        <v>236</v>
      </c>
      <c r="I148">
        <v>308</v>
      </c>
      <c r="J148">
        <v>316</v>
      </c>
      <c r="K148" s="4">
        <v>301</v>
      </c>
      <c r="L148" s="4">
        <v>283</v>
      </c>
      <c r="M148" s="4">
        <v>167</v>
      </c>
      <c r="N148" s="4">
        <v>82</v>
      </c>
    </row>
    <row r="150" spans="1:14" x14ac:dyDescent="0.25">
      <c r="A150" s="4" t="s">
        <v>224</v>
      </c>
    </row>
    <row r="152" spans="1:14" x14ac:dyDescent="0.25">
      <c r="A152" s="4" t="s">
        <v>225</v>
      </c>
    </row>
    <row r="153" spans="1:14" x14ac:dyDescent="0.25">
      <c r="A153" s="4" t="s">
        <v>186</v>
      </c>
      <c r="B153" s="4" t="s">
        <v>0</v>
      </c>
      <c r="C153" s="4" t="s">
        <v>1</v>
      </c>
      <c r="D153" s="4" t="s">
        <v>2</v>
      </c>
      <c r="E153" s="4" t="s">
        <v>3</v>
      </c>
      <c r="F153" s="4" t="s">
        <v>4</v>
      </c>
      <c r="G153" s="4" t="s">
        <v>5</v>
      </c>
      <c r="H153" s="4" t="s">
        <v>6</v>
      </c>
      <c r="I153" s="4" t="s">
        <v>7</v>
      </c>
      <c r="J153" s="4" t="s">
        <v>8</v>
      </c>
      <c r="K153" s="4" t="s">
        <v>9</v>
      </c>
      <c r="L153" s="4" t="s">
        <v>10</v>
      </c>
      <c r="M153" s="4" t="s">
        <v>11</v>
      </c>
      <c r="N153" s="4" t="s">
        <v>12</v>
      </c>
    </row>
    <row r="154" spans="1:14" x14ac:dyDescent="0.25">
      <c r="A154" s="4" t="s">
        <v>186</v>
      </c>
      <c r="B154" s="4" t="s">
        <v>226</v>
      </c>
      <c r="C154">
        <v>23</v>
      </c>
      <c r="D154">
        <v>14</v>
      </c>
      <c r="E154">
        <v>22</v>
      </c>
      <c r="F154">
        <v>15</v>
      </c>
      <c r="G154">
        <v>13</v>
      </c>
      <c r="H154">
        <v>7</v>
      </c>
      <c r="I154">
        <v>1</v>
      </c>
      <c r="J154">
        <v>5</v>
      </c>
      <c r="K154">
        <v>11</v>
      </c>
      <c r="L154">
        <v>15</v>
      </c>
      <c r="M154">
        <v>17</v>
      </c>
      <c r="N154">
        <v>18</v>
      </c>
    </row>
    <row r="155" spans="1:14" x14ac:dyDescent="0.25">
      <c r="A155" s="4" t="s">
        <v>186</v>
      </c>
      <c r="B155" s="4" t="s">
        <v>227</v>
      </c>
      <c r="C155">
        <v>38</v>
      </c>
      <c r="D155">
        <v>11</v>
      </c>
      <c r="E155">
        <v>17</v>
      </c>
      <c r="F155">
        <v>50</v>
      </c>
      <c r="G155">
        <v>44</v>
      </c>
      <c r="H155">
        <v>60</v>
      </c>
      <c r="I155">
        <v>58</v>
      </c>
      <c r="J155">
        <v>54</v>
      </c>
      <c r="K155">
        <v>61</v>
      </c>
      <c r="L155">
        <v>41</v>
      </c>
      <c r="M155">
        <v>31</v>
      </c>
      <c r="N155">
        <v>35</v>
      </c>
    </row>
    <row r="156" spans="1:14" x14ac:dyDescent="0.25">
      <c r="A156" s="4" t="s">
        <v>186</v>
      </c>
      <c r="B156" s="4" t="s">
        <v>228</v>
      </c>
      <c r="C156">
        <v>10</v>
      </c>
      <c r="D156">
        <v>5</v>
      </c>
      <c r="E156">
        <v>26</v>
      </c>
      <c r="F156">
        <v>17</v>
      </c>
      <c r="G156">
        <v>21</v>
      </c>
      <c r="H156">
        <v>28</v>
      </c>
      <c r="I156">
        <v>39</v>
      </c>
      <c r="J156">
        <v>32</v>
      </c>
      <c r="K156">
        <v>22</v>
      </c>
      <c r="L156">
        <v>15</v>
      </c>
      <c r="M156">
        <v>34</v>
      </c>
      <c r="N156">
        <v>12</v>
      </c>
    </row>
    <row r="157" spans="1:14" x14ac:dyDescent="0.25">
      <c r="A157" s="4" t="s">
        <v>186</v>
      </c>
      <c r="B157" s="4" t="s">
        <v>229</v>
      </c>
      <c r="C157">
        <v>3</v>
      </c>
      <c r="D157">
        <v>4</v>
      </c>
      <c r="E157">
        <v>4</v>
      </c>
      <c r="F157">
        <v>3</v>
      </c>
      <c r="G157">
        <v>7</v>
      </c>
      <c r="H157">
        <v>1</v>
      </c>
      <c r="I157">
        <v>1</v>
      </c>
      <c r="J157">
        <v>1</v>
      </c>
      <c r="K157">
        <v>2</v>
      </c>
      <c r="L157">
        <v>3</v>
      </c>
      <c r="M157">
        <v>3</v>
      </c>
      <c r="N157">
        <v>9</v>
      </c>
    </row>
    <row r="158" spans="1:14" x14ac:dyDescent="0.25">
      <c r="A158" s="4" t="s">
        <v>186</v>
      </c>
      <c r="B158" s="4" t="s">
        <v>230</v>
      </c>
      <c r="C158">
        <v>5</v>
      </c>
      <c r="D158">
        <v>11</v>
      </c>
      <c r="E158">
        <v>9</v>
      </c>
      <c r="F158">
        <v>4</v>
      </c>
      <c r="G158">
        <v>6</v>
      </c>
      <c r="H158">
        <v>1</v>
      </c>
      <c r="I158">
        <v>0</v>
      </c>
      <c r="J158">
        <v>2</v>
      </c>
      <c r="K158">
        <v>2</v>
      </c>
      <c r="L158">
        <v>4</v>
      </c>
      <c r="M158">
        <v>3</v>
      </c>
      <c r="N158">
        <v>12</v>
      </c>
    </row>
    <row r="159" spans="1:14" x14ac:dyDescent="0.25">
      <c r="A159" s="4" t="s">
        <v>186</v>
      </c>
      <c r="B159" s="4" t="s">
        <v>231</v>
      </c>
      <c r="C159">
        <v>3</v>
      </c>
      <c r="D159">
        <v>16</v>
      </c>
      <c r="E159">
        <v>4</v>
      </c>
      <c r="F159">
        <v>3</v>
      </c>
      <c r="G159">
        <v>3</v>
      </c>
      <c r="H159">
        <v>0</v>
      </c>
      <c r="I159">
        <v>0</v>
      </c>
      <c r="J159">
        <v>2</v>
      </c>
      <c r="K159">
        <v>0</v>
      </c>
      <c r="L159">
        <v>3</v>
      </c>
      <c r="M159">
        <v>1</v>
      </c>
      <c r="N159">
        <v>3</v>
      </c>
    </row>
    <row r="160" spans="1:14" x14ac:dyDescent="0.25">
      <c r="A160" s="4" t="s">
        <v>186</v>
      </c>
      <c r="B160" s="4" t="s">
        <v>232</v>
      </c>
      <c r="C160">
        <v>2</v>
      </c>
      <c r="D160">
        <v>16</v>
      </c>
      <c r="E160">
        <v>3</v>
      </c>
      <c r="F160">
        <v>3</v>
      </c>
      <c r="G160">
        <v>1</v>
      </c>
      <c r="H160">
        <v>0</v>
      </c>
      <c r="I160">
        <v>0</v>
      </c>
      <c r="J160">
        <v>1</v>
      </c>
      <c r="K160">
        <v>0</v>
      </c>
      <c r="L160">
        <v>2</v>
      </c>
      <c r="M160">
        <v>1</v>
      </c>
      <c r="N160">
        <v>2</v>
      </c>
    </row>
    <row r="161" spans="1:14" x14ac:dyDescent="0.25">
      <c r="A161" s="4" t="s">
        <v>186</v>
      </c>
      <c r="B161" s="4" t="s">
        <v>233</v>
      </c>
      <c r="C161">
        <v>17</v>
      </c>
      <c r="D161">
        <v>23</v>
      </c>
      <c r="E161">
        <v>15</v>
      </c>
      <c r="F161">
        <v>6</v>
      </c>
      <c r="G161">
        <v>6</v>
      </c>
      <c r="H161">
        <v>1</v>
      </c>
      <c r="I161">
        <v>1</v>
      </c>
      <c r="J161">
        <v>3</v>
      </c>
      <c r="K161">
        <v>2</v>
      </c>
      <c r="L161">
        <v>16</v>
      </c>
      <c r="M161">
        <v>11</v>
      </c>
      <c r="N161">
        <v>9</v>
      </c>
    </row>
    <row r="163" spans="1:14" x14ac:dyDescent="0.25">
      <c r="A163" s="4" t="s">
        <v>234</v>
      </c>
    </row>
    <row r="164" spans="1:14" x14ac:dyDescent="0.25">
      <c r="A164" s="4" t="s">
        <v>186</v>
      </c>
      <c r="B164" s="4" t="s">
        <v>0</v>
      </c>
      <c r="C164" s="4" t="s">
        <v>1</v>
      </c>
      <c r="D164" s="4" t="s">
        <v>2</v>
      </c>
      <c r="E164" s="4" t="s">
        <v>3</v>
      </c>
      <c r="F164" s="4" t="s">
        <v>4</v>
      </c>
      <c r="G164" s="4" t="s">
        <v>5</v>
      </c>
      <c r="H164" s="4" t="s">
        <v>6</v>
      </c>
      <c r="I164" s="4" t="s">
        <v>7</v>
      </c>
      <c r="J164" s="4" t="s">
        <v>8</v>
      </c>
      <c r="K164" s="4" t="s">
        <v>9</v>
      </c>
      <c r="L164" s="4" t="s">
        <v>10</v>
      </c>
      <c r="M164" s="4" t="s">
        <v>11</v>
      </c>
      <c r="N164" s="4" t="s">
        <v>12</v>
      </c>
    </row>
    <row r="165" spans="1:14" x14ac:dyDescent="0.25">
      <c r="A165" s="4" t="s">
        <v>186</v>
      </c>
      <c r="B165" s="4" t="s">
        <v>187</v>
      </c>
      <c r="C165">
        <v>12.9</v>
      </c>
      <c r="D165">
        <v>11.8</v>
      </c>
      <c r="E165">
        <v>11.8</v>
      </c>
      <c r="F165">
        <v>12.4</v>
      </c>
      <c r="G165">
        <v>11.3</v>
      </c>
      <c r="H165">
        <v>10.8</v>
      </c>
      <c r="I165">
        <v>10.3</v>
      </c>
      <c r="J165">
        <v>9.8000000000000007</v>
      </c>
      <c r="K165">
        <v>11.8</v>
      </c>
      <c r="L165">
        <v>9.3000000000000007</v>
      </c>
      <c r="M165">
        <v>13.4</v>
      </c>
      <c r="N165">
        <v>10.3</v>
      </c>
    </row>
    <row r="166" spans="1:14" x14ac:dyDescent="0.25">
      <c r="A166" s="4" t="s">
        <v>186</v>
      </c>
      <c r="B166" s="4" t="s">
        <v>208</v>
      </c>
      <c r="C166" s="65">
        <v>0.46875</v>
      </c>
      <c r="D166" s="65" t="s">
        <v>315</v>
      </c>
      <c r="E166" s="65" t="s">
        <v>319</v>
      </c>
      <c r="F166" s="65" t="s">
        <v>351</v>
      </c>
      <c r="G166" s="65">
        <v>1.2611111111111111</v>
      </c>
      <c r="H166" s="64">
        <v>0.76180555555555562</v>
      </c>
      <c r="I166" s="65">
        <v>0.5493055555555556</v>
      </c>
      <c r="J166" s="65">
        <v>0.88611111111111107</v>
      </c>
      <c r="K166" s="64" t="s">
        <v>325</v>
      </c>
      <c r="L166" s="65" t="s">
        <v>368</v>
      </c>
      <c r="M166" s="64">
        <v>0.63888888888888895</v>
      </c>
      <c r="N166" s="64">
        <v>0.84097222222222223</v>
      </c>
    </row>
    <row r="168" spans="1:14" x14ac:dyDescent="0.25">
      <c r="A168" s="4" t="s">
        <v>186</v>
      </c>
      <c r="B168" s="4" t="s">
        <v>189</v>
      </c>
      <c r="C168">
        <v>0</v>
      </c>
      <c r="D168">
        <v>0</v>
      </c>
      <c r="E168">
        <v>0</v>
      </c>
      <c r="F168">
        <v>0</v>
      </c>
      <c r="G168">
        <v>0</v>
      </c>
      <c r="H168">
        <v>0</v>
      </c>
      <c r="I168">
        <v>0</v>
      </c>
      <c r="J168">
        <v>0</v>
      </c>
      <c r="K168">
        <v>0</v>
      </c>
      <c r="L168">
        <v>0</v>
      </c>
      <c r="M168">
        <v>0</v>
      </c>
      <c r="N168">
        <v>0</v>
      </c>
    </row>
    <row r="169" spans="1:14" x14ac:dyDescent="0.25">
      <c r="A169" s="4" t="s">
        <v>186</v>
      </c>
      <c r="B169" s="4" t="s">
        <v>208</v>
      </c>
      <c r="C169" s="4" t="s">
        <v>316</v>
      </c>
      <c r="D169" s="4" t="s">
        <v>369</v>
      </c>
      <c r="E169" s="4" t="s">
        <v>205</v>
      </c>
      <c r="F169" s="4" t="s">
        <v>370</v>
      </c>
      <c r="G169" s="65" t="s">
        <v>235</v>
      </c>
      <c r="H169" s="4" t="s">
        <v>371</v>
      </c>
      <c r="I169" s="65">
        <v>0.87847222222222221</v>
      </c>
      <c r="J169" s="65">
        <v>0.46111111111111108</v>
      </c>
      <c r="K169" s="4" t="s">
        <v>236</v>
      </c>
      <c r="L169" s="4" t="s">
        <v>372</v>
      </c>
      <c r="M169" s="4" t="s">
        <v>373</v>
      </c>
      <c r="N169" s="4" t="s">
        <v>374</v>
      </c>
    </row>
    <row r="171" spans="1:14" x14ac:dyDescent="0.25">
      <c r="A171" s="4" t="s">
        <v>186</v>
      </c>
      <c r="B171" s="4" t="s">
        <v>191</v>
      </c>
      <c r="C171">
        <v>4.0999999999999996</v>
      </c>
      <c r="D171">
        <v>3.7</v>
      </c>
      <c r="E171">
        <v>4.2</v>
      </c>
      <c r="F171">
        <v>4.8</v>
      </c>
      <c r="G171">
        <v>4.4000000000000004</v>
      </c>
      <c r="H171">
        <v>5.9</v>
      </c>
      <c r="I171">
        <v>6</v>
      </c>
      <c r="J171">
        <v>5.2</v>
      </c>
      <c r="K171">
        <v>5.4</v>
      </c>
      <c r="L171">
        <v>3.8</v>
      </c>
      <c r="M171">
        <v>5.2</v>
      </c>
      <c r="N171">
        <v>4.4000000000000004</v>
      </c>
    </row>
    <row r="173" spans="1:14" x14ac:dyDescent="0.25">
      <c r="A173" s="4" t="s">
        <v>375</v>
      </c>
    </row>
    <row r="174" spans="1:14" x14ac:dyDescent="0.25">
      <c r="A174" s="4" t="s">
        <v>237</v>
      </c>
    </row>
    <row r="176" spans="1:14" x14ac:dyDescent="0.25">
      <c r="A176" s="4" t="s">
        <v>238</v>
      </c>
    </row>
    <row r="177" spans="1:14" x14ac:dyDescent="0.25">
      <c r="A177" s="4" t="s">
        <v>186</v>
      </c>
      <c r="B177" s="4" t="s">
        <v>0</v>
      </c>
      <c r="C177" s="4" t="s">
        <v>1</v>
      </c>
      <c r="D177" s="4" t="s">
        <v>2</v>
      </c>
      <c r="E177" s="4" t="s">
        <v>3</v>
      </c>
      <c r="F177" s="4" t="s">
        <v>4</v>
      </c>
      <c r="G177" s="4" t="s">
        <v>5</v>
      </c>
      <c r="H177" s="4" t="s">
        <v>6</v>
      </c>
      <c r="I177" s="4" t="s">
        <v>7</v>
      </c>
      <c r="J177" s="4" t="s">
        <v>8</v>
      </c>
      <c r="K177" s="4" t="s">
        <v>9</v>
      </c>
      <c r="L177" s="4" t="s">
        <v>10</v>
      </c>
      <c r="M177" s="4" t="s">
        <v>11</v>
      </c>
      <c r="N177" s="4" t="s">
        <v>12</v>
      </c>
    </row>
    <row r="178" spans="1:14" x14ac:dyDescent="0.25">
      <c r="A178" s="4" t="s">
        <v>186</v>
      </c>
      <c r="B178" s="4" t="s">
        <v>239</v>
      </c>
      <c r="C178">
        <v>0</v>
      </c>
      <c r="D178">
        <v>150</v>
      </c>
      <c r="E178">
        <v>57</v>
      </c>
      <c r="F178">
        <v>0</v>
      </c>
      <c r="G178">
        <v>0</v>
      </c>
      <c r="H178">
        <v>0</v>
      </c>
      <c r="I178">
        <v>0</v>
      </c>
      <c r="J178">
        <v>0</v>
      </c>
      <c r="K178">
        <v>3</v>
      </c>
      <c r="L178">
        <v>0</v>
      </c>
      <c r="M178">
        <v>0</v>
      </c>
      <c r="N178">
        <v>0</v>
      </c>
    </row>
    <row r="180" spans="1:14" x14ac:dyDescent="0.25">
      <c r="A180" s="4" t="s">
        <v>240</v>
      </c>
      <c r="B180" s="4" t="s">
        <v>244</v>
      </c>
      <c r="C180">
        <v>5116</v>
      </c>
      <c r="D180">
        <v>7541</v>
      </c>
      <c r="E180">
        <v>9873</v>
      </c>
      <c r="F180">
        <v>11403</v>
      </c>
      <c r="G180">
        <v>13005</v>
      </c>
      <c r="H180">
        <v>14058</v>
      </c>
      <c r="I180">
        <v>12936</v>
      </c>
      <c r="J180">
        <v>12259</v>
      </c>
      <c r="K180">
        <v>9058</v>
      </c>
      <c r="L180">
        <v>8179</v>
      </c>
      <c r="M180">
        <v>5793</v>
      </c>
      <c r="N180">
        <v>3940</v>
      </c>
    </row>
    <row r="181" spans="1:14" x14ac:dyDescent="0.25">
      <c r="A181" s="4" t="s">
        <v>186</v>
      </c>
      <c r="B181" s="4" t="s">
        <v>0</v>
      </c>
      <c r="C181" s="4" t="s">
        <v>1</v>
      </c>
      <c r="D181" s="4" t="s">
        <v>2</v>
      </c>
      <c r="E181" s="4" t="s">
        <v>3</v>
      </c>
      <c r="F181" s="4" t="s">
        <v>4</v>
      </c>
      <c r="G181" s="4" t="s">
        <v>5</v>
      </c>
      <c r="H181" s="4" t="s">
        <v>6</v>
      </c>
      <c r="I181" s="4" t="s">
        <v>7</v>
      </c>
      <c r="J181" s="4" t="s">
        <v>8</v>
      </c>
      <c r="K181" s="4" t="s">
        <v>9</v>
      </c>
      <c r="L181" s="4" t="s">
        <v>10</v>
      </c>
      <c r="M181" s="4" t="s">
        <v>11</v>
      </c>
      <c r="N181" s="4" t="s">
        <v>12</v>
      </c>
    </row>
    <row r="182" spans="1:14" x14ac:dyDescent="0.25">
      <c r="A182" s="4" t="s">
        <v>186</v>
      </c>
      <c r="B182" s="4" t="s">
        <v>241</v>
      </c>
      <c r="C182">
        <v>0</v>
      </c>
      <c r="D182">
        <v>0.12</v>
      </c>
      <c r="E182">
        <v>0.11</v>
      </c>
      <c r="F182">
        <v>0</v>
      </c>
      <c r="G182">
        <v>0</v>
      </c>
      <c r="H182">
        <v>0</v>
      </c>
      <c r="I182">
        <v>0</v>
      </c>
      <c r="J182">
        <v>0</v>
      </c>
      <c r="K182">
        <v>0.11</v>
      </c>
      <c r="L182">
        <v>0</v>
      </c>
      <c r="M182">
        <v>0</v>
      </c>
      <c r="N182">
        <v>0</v>
      </c>
    </row>
    <row r="183" spans="1:14" x14ac:dyDescent="0.25">
      <c r="A183" s="4" t="s">
        <v>186</v>
      </c>
      <c r="B183" s="4" t="s">
        <v>246</v>
      </c>
      <c r="C183">
        <v>379</v>
      </c>
      <c r="D183">
        <v>858</v>
      </c>
      <c r="E183">
        <v>1645</v>
      </c>
      <c r="F183">
        <v>1740</v>
      </c>
      <c r="G183">
        <v>2269</v>
      </c>
      <c r="H183">
        <v>2144</v>
      </c>
      <c r="I183">
        <v>2166</v>
      </c>
      <c r="J183">
        <v>1692</v>
      </c>
      <c r="K183">
        <v>1287</v>
      </c>
      <c r="L183">
        <v>805</v>
      </c>
      <c r="M183">
        <v>426</v>
      </c>
      <c r="N183">
        <v>288</v>
      </c>
    </row>
    <row r="184" spans="1:14" x14ac:dyDescent="0.25">
      <c r="A184" s="4" t="s">
        <v>242</v>
      </c>
    </row>
    <row r="185" spans="1:14" x14ac:dyDescent="0.25">
      <c r="A185" s="4" t="s">
        <v>186</v>
      </c>
      <c r="B185" s="4" t="s">
        <v>0</v>
      </c>
      <c r="C185" s="4" t="s">
        <v>1</v>
      </c>
      <c r="D185" s="4" t="s">
        <v>2</v>
      </c>
      <c r="E185" s="4" t="s">
        <v>3</v>
      </c>
      <c r="F185" s="4" t="s">
        <v>4</v>
      </c>
      <c r="G185" s="4" t="s">
        <v>5</v>
      </c>
      <c r="H185" s="4" t="s">
        <v>6</v>
      </c>
      <c r="I185" s="4" t="s">
        <v>7</v>
      </c>
      <c r="J185" s="4" t="s">
        <v>8</v>
      </c>
      <c r="K185" s="4" t="s">
        <v>9</v>
      </c>
      <c r="L185" s="4" t="s">
        <v>10</v>
      </c>
      <c r="M185" s="4" t="s">
        <v>11</v>
      </c>
      <c r="N185" s="4" t="s">
        <v>12</v>
      </c>
    </row>
    <row r="186" spans="1:14" x14ac:dyDescent="0.25">
      <c r="A186" s="4" t="s">
        <v>186</v>
      </c>
      <c r="B186" s="4" t="s">
        <v>243</v>
      </c>
      <c r="C186">
        <v>4597</v>
      </c>
      <c r="D186">
        <v>4427</v>
      </c>
      <c r="E186">
        <v>4509</v>
      </c>
      <c r="F186">
        <v>4963</v>
      </c>
      <c r="G186">
        <v>5300</v>
      </c>
      <c r="H186">
        <v>5676</v>
      </c>
      <c r="I186">
        <v>5939</v>
      </c>
      <c r="J186">
        <v>6318</v>
      </c>
      <c r="K186">
        <v>5205</v>
      </c>
      <c r="L186">
        <v>5068</v>
      </c>
      <c r="M186">
        <v>4429</v>
      </c>
      <c r="N186">
        <v>4489</v>
      </c>
    </row>
    <row r="188" spans="1:14" x14ac:dyDescent="0.25">
      <c r="A188" s="4" t="s">
        <v>186</v>
      </c>
      <c r="B188" s="4" t="s">
        <v>244</v>
      </c>
      <c r="C188">
        <v>8632</v>
      </c>
      <c r="D188">
        <v>8426</v>
      </c>
      <c r="E188">
        <v>7294</v>
      </c>
      <c r="F188">
        <v>8166</v>
      </c>
      <c r="G188">
        <v>9457</v>
      </c>
      <c r="H188">
        <v>8067</v>
      </c>
      <c r="I188">
        <v>9229</v>
      </c>
      <c r="J188">
        <v>9301</v>
      </c>
      <c r="K188">
        <v>7449</v>
      </c>
      <c r="L188">
        <v>8721</v>
      </c>
      <c r="M188">
        <v>7478</v>
      </c>
      <c r="N188">
        <v>8125</v>
      </c>
    </row>
    <row r="189" spans="1:14" x14ac:dyDescent="0.25">
      <c r="A189" s="4" t="s">
        <v>186</v>
      </c>
      <c r="B189" s="4" t="s">
        <v>245</v>
      </c>
      <c r="C189" s="4">
        <v>29</v>
      </c>
      <c r="D189" s="4">
        <v>26</v>
      </c>
      <c r="E189" s="4">
        <v>26</v>
      </c>
      <c r="F189" s="4">
        <v>20</v>
      </c>
      <c r="G189" s="4">
        <v>30</v>
      </c>
      <c r="H189" s="4">
        <v>30</v>
      </c>
      <c r="I189" s="4">
        <v>24</v>
      </c>
      <c r="J189" s="4">
        <v>18</v>
      </c>
      <c r="K189" s="4">
        <v>17</v>
      </c>
      <c r="L189" s="4">
        <v>3</v>
      </c>
      <c r="M189" s="4">
        <v>21</v>
      </c>
      <c r="N189" s="4">
        <v>13</v>
      </c>
    </row>
    <row r="190" spans="1:14" x14ac:dyDescent="0.25">
      <c r="A190" s="4" t="s">
        <v>186</v>
      </c>
      <c r="B190" s="4" t="s">
        <v>13</v>
      </c>
      <c r="C190">
        <v>0</v>
      </c>
      <c r="D190">
        <v>0</v>
      </c>
      <c r="E190">
        <v>0</v>
      </c>
      <c r="F190">
        <v>0</v>
      </c>
      <c r="G190">
        <v>0</v>
      </c>
      <c r="H190">
        <v>0</v>
      </c>
      <c r="I190">
        <v>0</v>
      </c>
      <c r="J190">
        <v>0</v>
      </c>
      <c r="K190">
        <v>0</v>
      </c>
      <c r="L190">
        <v>0</v>
      </c>
      <c r="M190">
        <v>0</v>
      </c>
      <c r="N190">
        <v>0</v>
      </c>
    </row>
    <row r="191" spans="1:14" x14ac:dyDescent="0.25">
      <c r="A191" s="4" t="s">
        <v>186</v>
      </c>
      <c r="B191" s="4" t="s">
        <v>246</v>
      </c>
      <c r="C191">
        <v>1484</v>
      </c>
      <c r="D191">
        <v>1792</v>
      </c>
      <c r="E191">
        <v>2158</v>
      </c>
      <c r="F191">
        <v>2336</v>
      </c>
      <c r="G191">
        <v>2416</v>
      </c>
      <c r="H191">
        <v>2427</v>
      </c>
      <c r="I191">
        <v>2191</v>
      </c>
      <c r="J191">
        <v>2043</v>
      </c>
      <c r="K191">
        <v>2255</v>
      </c>
      <c r="L191">
        <v>1837</v>
      </c>
      <c r="M191">
        <v>1681</v>
      </c>
      <c r="N191">
        <v>1398</v>
      </c>
    </row>
    <row r="192" spans="1:14" x14ac:dyDescent="0.25">
      <c r="A192" s="4" t="s">
        <v>186</v>
      </c>
      <c r="B192" s="4" t="s">
        <v>15</v>
      </c>
      <c r="C192">
        <v>0</v>
      </c>
      <c r="D192">
        <v>0</v>
      </c>
      <c r="E192">
        <v>0</v>
      </c>
      <c r="F192">
        <v>0</v>
      </c>
      <c r="G192">
        <v>0</v>
      </c>
      <c r="H192">
        <v>0</v>
      </c>
      <c r="I192">
        <v>0</v>
      </c>
      <c r="J192">
        <v>0</v>
      </c>
      <c r="K192">
        <v>0</v>
      </c>
      <c r="L192">
        <v>0</v>
      </c>
      <c r="M192">
        <v>0</v>
      </c>
      <c r="N192">
        <v>0</v>
      </c>
    </row>
    <row r="193" spans="1:14" x14ac:dyDescent="0.25">
      <c r="A193" s="4" t="s">
        <v>186</v>
      </c>
      <c r="B193" s="4" t="s">
        <v>247</v>
      </c>
      <c r="C193">
        <v>3984</v>
      </c>
      <c r="D193">
        <v>4486</v>
      </c>
      <c r="E193">
        <v>5244</v>
      </c>
      <c r="F193">
        <v>5815</v>
      </c>
      <c r="G193">
        <v>6308</v>
      </c>
      <c r="H193">
        <v>6491</v>
      </c>
      <c r="I193">
        <v>6524</v>
      </c>
      <c r="J193">
        <v>6550</v>
      </c>
      <c r="K193">
        <v>5819</v>
      </c>
      <c r="L193">
        <v>5016</v>
      </c>
      <c r="M193">
        <v>4149</v>
      </c>
      <c r="N193">
        <v>3766</v>
      </c>
    </row>
    <row r="194" spans="1:14" x14ac:dyDescent="0.25">
      <c r="A194" s="4" t="s">
        <v>376</v>
      </c>
      <c r="B194" s="4" t="s">
        <v>17</v>
      </c>
      <c r="C194">
        <v>0</v>
      </c>
      <c r="D194">
        <v>0</v>
      </c>
      <c r="E194">
        <v>0</v>
      </c>
      <c r="F194">
        <v>0</v>
      </c>
      <c r="G194">
        <v>94</v>
      </c>
      <c r="H194">
        <v>205</v>
      </c>
      <c r="I194">
        <v>152</v>
      </c>
      <c r="J194">
        <v>0</v>
      </c>
      <c r="K194">
        <v>0</v>
      </c>
      <c r="L194">
        <v>0</v>
      </c>
      <c r="M194">
        <v>0</v>
      </c>
      <c r="N194">
        <v>0</v>
      </c>
    </row>
    <row r="195" spans="1:14" x14ac:dyDescent="0.25">
      <c r="A195" s="4" t="s">
        <v>186</v>
      </c>
      <c r="B195" s="4" t="s">
        <v>18</v>
      </c>
      <c r="C195">
        <v>0</v>
      </c>
      <c r="D195">
        <v>0</v>
      </c>
      <c r="E195">
        <v>0</v>
      </c>
      <c r="F195">
        <v>55</v>
      </c>
      <c r="G195">
        <v>283</v>
      </c>
      <c r="H195">
        <v>293</v>
      </c>
      <c r="I195">
        <v>382</v>
      </c>
      <c r="J195">
        <v>140</v>
      </c>
      <c r="K195">
        <v>0</v>
      </c>
      <c r="L195">
        <v>0</v>
      </c>
      <c r="M195">
        <v>0</v>
      </c>
      <c r="N195">
        <v>0</v>
      </c>
    </row>
    <row r="196" spans="1:14" x14ac:dyDescent="0.25">
      <c r="A196" s="4" t="s">
        <v>248</v>
      </c>
      <c r="B196" s="4" t="s">
        <v>19</v>
      </c>
      <c r="C196">
        <v>0</v>
      </c>
      <c r="D196">
        <v>0</v>
      </c>
      <c r="E196">
        <v>44</v>
      </c>
      <c r="F196">
        <v>359</v>
      </c>
      <c r="G196">
        <v>330</v>
      </c>
      <c r="H196">
        <v>391</v>
      </c>
      <c r="I196">
        <v>493</v>
      </c>
      <c r="J196">
        <v>271</v>
      </c>
      <c r="K196">
        <v>159</v>
      </c>
      <c r="L196">
        <v>0</v>
      </c>
      <c r="M196">
        <v>0</v>
      </c>
      <c r="N196">
        <v>0</v>
      </c>
    </row>
    <row r="197" spans="1:14" x14ac:dyDescent="0.25">
      <c r="A197" s="4" t="s">
        <v>186</v>
      </c>
      <c r="B197" s="4" t="s">
        <v>0</v>
      </c>
      <c r="C197" s="4" t="s">
        <v>1</v>
      </c>
      <c r="D197" s="4" t="s">
        <v>2</v>
      </c>
      <c r="E197" s="4" t="s">
        <v>3</v>
      </c>
      <c r="F197" s="4" t="s">
        <v>4</v>
      </c>
      <c r="G197" s="4" t="s">
        <v>5</v>
      </c>
      <c r="H197" s="4" t="s">
        <v>6</v>
      </c>
      <c r="I197" s="4" t="s">
        <v>7</v>
      </c>
      <c r="J197" s="4" t="s">
        <v>8</v>
      </c>
      <c r="K197" s="4" t="s">
        <v>9</v>
      </c>
      <c r="L197" s="4" t="s">
        <v>10</v>
      </c>
      <c r="M197" s="4" t="s">
        <v>11</v>
      </c>
      <c r="N197" s="4" t="s">
        <v>12</v>
      </c>
    </row>
    <row r="198" spans="1:14" x14ac:dyDescent="0.25">
      <c r="A198" s="4" t="s">
        <v>186</v>
      </c>
      <c r="B198" s="4" t="s">
        <v>13</v>
      </c>
      <c r="C198">
        <v>0</v>
      </c>
      <c r="D198">
        <v>0</v>
      </c>
      <c r="E198">
        <v>0</v>
      </c>
      <c r="F198">
        <v>0</v>
      </c>
      <c r="G198">
        <v>0</v>
      </c>
      <c r="H198">
        <v>0</v>
      </c>
      <c r="I198">
        <v>0</v>
      </c>
      <c r="J198">
        <v>0</v>
      </c>
      <c r="K198">
        <v>0</v>
      </c>
      <c r="L198">
        <v>0</v>
      </c>
      <c r="M198">
        <v>0</v>
      </c>
      <c r="N198">
        <v>0</v>
      </c>
    </row>
    <row r="199" spans="1:14" x14ac:dyDescent="0.25">
      <c r="A199" s="4" t="s">
        <v>186</v>
      </c>
      <c r="B199" s="4" t="s">
        <v>14</v>
      </c>
      <c r="C199">
        <v>0</v>
      </c>
      <c r="D199">
        <v>0</v>
      </c>
      <c r="E199">
        <v>0</v>
      </c>
      <c r="F199">
        <v>0</v>
      </c>
      <c r="G199">
        <v>0</v>
      </c>
      <c r="H199">
        <v>0</v>
      </c>
      <c r="I199">
        <v>0</v>
      </c>
      <c r="J199">
        <v>0</v>
      </c>
      <c r="K199">
        <v>0</v>
      </c>
      <c r="L199">
        <v>0</v>
      </c>
      <c r="M199">
        <v>0</v>
      </c>
      <c r="N199">
        <v>0</v>
      </c>
    </row>
    <row r="200" spans="1:14" x14ac:dyDescent="0.25">
      <c r="A200" s="4" t="s">
        <v>186</v>
      </c>
      <c r="B200" s="4" t="s">
        <v>15</v>
      </c>
      <c r="C200">
        <v>0</v>
      </c>
      <c r="D200">
        <v>0</v>
      </c>
      <c r="E200">
        <v>0</v>
      </c>
      <c r="F200">
        <v>0</v>
      </c>
      <c r="G200">
        <v>0</v>
      </c>
      <c r="H200">
        <v>0</v>
      </c>
      <c r="I200">
        <v>0</v>
      </c>
      <c r="J200">
        <v>0</v>
      </c>
      <c r="K200">
        <v>0</v>
      </c>
      <c r="L200">
        <v>0</v>
      </c>
      <c r="M200">
        <v>0</v>
      </c>
      <c r="N200">
        <v>0</v>
      </c>
    </row>
    <row r="201" spans="1:14" x14ac:dyDescent="0.25">
      <c r="A201" s="4" t="s">
        <v>186</v>
      </c>
      <c r="B201" s="4" t="s">
        <v>16</v>
      </c>
      <c r="C201">
        <v>0</v>
      </c>
      <c r="D201">
        <v>0</v>
      </c>
      <c r="E201">
        <v>0</v>
      </c>
      <c r="F201">
        <v>0</v>
      </c>
      <c r="G201">
        <v>0</v>
      </c>
      <c r="H201">
        <v>0</v>
      </c>
      <c r="I201">
        <v>0</v>
      </c>
      <c r="J201">
        <v>0</v>
      </c>
      <c r="K201">
        <v>0</v>
      </c>
      <c r="L201">
        <v>0</v>
      </c>
      <c r="M201">
        <v>0</v>
      </c>
      <c r="N201">
        <v>0</v>
      </c>
    </row>
    <row r="202" spans="1:14" x14ac:dyDescent="0.25">
      <c r="A202" s="4" t="s">
        <v>186</v>
      </c>
      <c r="B202" s="4" t="s">
        <v>17</v>
      </c>
      <c r="C202">
        <v>0</v>
      </c>
      <c r="D202">
        <v>0</v>
      </c>
      <c r="E202">
        <v>0</v>
      </c>
      <c r="F202">
        <v>0</v>
      </c>
      <c r="G202">
        <v>9</v>
      </c>
      <c r="H202">
        <v>15</v>
      </c>
      <c r="I202">
        <v>1</v>
      </c>
      <c r="J202">
        <v>0</v>
      </c>
      <c r="K202">
        <v>0</v>
      </c>
      <c r="L202">
        <v>0</v>
      </c>
      <c r="M202">
        <v>0</v>
      </c>
      <c r="N202">
        <v>0</v>
      </c>
    </row>
    <row r="203" spans="1:14" x14ac:dyDescent="0.25">
      <c r="A203" s="4" t="s">
        <v>186</v>
      </c>
      <c r="B203" s="4" t="s">
        <v>18</v>
      </c>
      <c r="C203">
        <v>0</v>
      </c>
      <c r="D203">
        <v>0</v>
      </c>
      <c r="E203">
        <v>0</v>
      </c>
      <c r="F203">
        <v>93</v>
      </c>
      <c r="G203">
        <v>172</v>
      </c>
      <c r="H203">
        <v>202</v>
      </c>
      <c r="I203">
        <v>129</v>
      </c>
      <c r="J203">
        <v>147</v>
      </c>
      <c r="K203">
        <v>0</v>
      </c>
      <c r="L203">
        <v>99</v>
      </c>
      <c r="M203">
        <v>24</v>
      </c>
      <c r="N203">
        <v>0</v>
      </c>
    </row>
    <row r="204" spans="1:14" x14ac:dyDescent="0.25">
      <c r="A204" s="4" t="s">
        <v>186</v>
      </c>
      <c r="B204" s="4" t="s">
        <v>19</v>
      </c>
      <c r="C204">
        <v>138</v>
      </c>
      <c r="D204">
        <v>1</v>
      </c>
      <c r="E204">
        <v>11</v>
      </c>
      <c r="F204">
        <v>297</v>
      </c>
      <c r="G204">
        <v>352</v>
      </c>
      <c r="H204">
        <v>358</v>
      </c>
      <c r="I204">
        <v>285</v>
      </c>
      <c r="J204">
        <v>370</v>
      </c>
      <c r="K204">
        <v>85</v>
      </c>
      <c r="L204">
        <v>350</v>
      </c>
      <c r="M204">
        <v>228</v>
      </c>
      <c r="N204">
        <v>176</v>
      </c>
    </row>
    <row r="205" spans="1:14" x14ac:dyDescent="0.25">
      <c r="A205" s="4" t="s">
        <v>186</v>
      </c>
      <c r="B205" s="4" t="s">
        <v>20</v>
      </c>
      <c r="C205">
        <v>384</v>
      </c>
      <c r="D205">
        <v>120</v>
      </c>
      <c r="E205">
        <v>219</v>
      </c>
      <c r="F205">
        <v>385</v>
      </c>
      <c r="G205">
        <v>430</v>
      </c>
      <c r="H205">
        <v>441</v>
      </c>
      <c r="I205">
        <v>486</v>
      </c>
      <c r="J205">
        <v>503</v>
      </c>
      <c r="K205">
        <v>305</v>
      </c>
      <c r="L205">
        <v>511</v>
      </c>
      <c r="M205">
        <v>379</v>
      </c>
      <c r="N205">
        <v>334</v>
      </c>
    </row>
    <row r="206" spans="1:14" x14ac:dyDescent="0.25">
      <c r="A206" s="4" t="s">
        <v>186</v>
      </c>
      <c r="B206" s="4" t="s">
        <v>21</v>
      </c>
      <c r="C206">
        <v>547</v>
      </c>
      <c r="D206">
        <v>345</v>
      </c>
      <c r="E206">
        <v>372</v>
      </c>
      <c r="F206">
        <v>411</v>
      </c>
      <c r="G206">
        <v>498</v>
      </c>
      <c r="H206">
        <v>508</v>
      </c>
      <c r="I206">
        <v>521</v>
      </c>
      <c r="J206">
        <v>569</v>
      </c>
      <c r="K206">
        <v>456</v>
      </c>
      <c r="L206">
        <v>591</v>
      </c>
      <c r="M206">
        <v>398</v>
      </c>
      <c r="N206">
        <v>456</v>
      </c>
    </row>
    <row r="207" spans="1:14" x14ac:dyDescent="0.25">
      <c r="A207" s="4" t="s">
        <v>186</v>
      </c>
      <c r="B207" s="4" t="s">
        <v>22</v>
      </c>
      <c r="C207">
        <v>539</v>
      </c>
      <c r="D207">
        <v>390</v>
      </c>
      <c r="E207">
        <v>459</v>
      </c>
      <c r="F207">
        <v>437</v>
      </c>
      <c r="G207">
        <v>527</v>
      </c>
      <c r="H207">
        <v>536</v>
      </c>
      <c r="I207">
        <v>532</v>
      </c>
      <c r="J207">
        <v>585</v>
      </c>
      <c r="K207">
        <v>501</v>
      </c>
      <c r="L207">
        <v>579</v>
      </c>
      <c r="M207">
        <v>352</v>
      </c>
      <c r="N207">
        <v>493</v>
      </c>
    </row>
    <row r="208" spans="1:14" x14ac:dyDescent="0.25">
      <c r="A208" s="4" t="s">
        <v>186</v>
      </c>
      <c r="B208" s="4" t="s">
        <v>23</v>
      </c>
      <c r="C208">
        <v>553</v>
      </c>
      <c r="D208">
        <v>443</v>
      </c>
      <c r="E208">
        <v>434</v>
      </c>
      <c r="F208">
        <v>454</v>
      </c>
      <c r="G208">
        <v>506</v>
      </c>
      <c r="H208">
        <v>503</v>
      </c>
      <c r="I208">
        <v>607</v>
      </c>
      <c r="J208">
        <v>606</v>
      </c>
      <c r="K208">
        <v>475</v>
      </c>
      <c r="L208">
        <v>558</v>
      </c>
      <c r="M208">
        <v>401</v>
      </c>
      <c r="N208">
        <v>553</v>
      </c>
    </row>
    <row r="209" spans="1:14" x14ac:dyDescent="0.25">
      <c r="A209" s="4" t="s">
        <v>186</v>
      </c>
      <c r="B209" s="4" t="s">
        <v>24</v>
      </c>
      <c r="C209">
        <v>537</v>
      </c>
      <c r="D209">
        <v>483</v>
      </c>
      <c r="E209">
        <v>485</v>
      </c>
      <c r="F209">
        <v>518</v>
      </c>
      <c r="G209">
        <v>592</v>
      </c>
      <c r="H209">
        <v>528</v>
      </c>
      <c r="I209">
        <v>574</v>
      </c>
      <c r="J209">
        <v>648</v>
      </c>
      <c r="K209">
        <v>535</v>
      </c>
      <c r="L209">
        <v>531</v>
      </c>
      <c r="M209">
        <v>544</v>
      </c>
      <c r="N209">
        <v>545</v>
      </c>
    </row>
    <row r="210" spans="1:14" x14ac:dyDescent="0.25">
      <c r="A210" s="4" t="s">
        <v>186</v>
      </c>
      <c r="B210" s="4" t="s">
        <v>25</v>
      </c>
      <c r="C210">
        <v>515</v>
      </c>
      <c r="D210">
        <v>496</v>
      </c>
      <c r="E210">
        <v>496</v>
      </c>
      <c r="F210">
        <v>561</v>
      </c>
      <c r="G210">
        <v>511</v>
      </c>
      <c r="H210">
        <v>525</v>
      </c>
      <c r="I210">
        <v>562</v>
      </c>
      <c r="J210">
        <v>578</v>
      </c>
      <c r="K210">
        <v>496</v>
      </c>
      <c r="L210">
        <v>507</v>
      </c>
      <c r="M210">
        <v>558</v>
      </c>
      <c r="N210">
        <v>547</v>
      </c>
    </row>
    <row r="211" spans="1:14" x14ac:dyDescent="0.25">
      <c r="A211" s="4" t="s">
        <v>186</v>
      </c>
      <c r="B211" s="4" t="s">
        <v>26</v>
      </c>
      <c r="C211">
        <v>467</v>
      </c>
      <c r="D211">
        <v>536</v>
      </c>
      <c r="E211">
        <v>507</v>
      </c>
      <c r="F211">
        <v>457</v>
      </c>
      <c r="G211">
        <v>511</v>
      </c>
      <c r="H211">
        <v>533</v>
      </c>
      <c r="I211">
        <v>569</v>
      </c>
      <c r="J211">
        <v>634</v>
      </c>
      <c r="K211">
        <v>571</v>
      </c>
      <c r="L211">
        <v>472</v>
      </c>
      <c r="M211">
        <v>528</v>
      </c>
      <c r="N211">
        <v>487</v>
      </c>
    </row>
    <row r="212" spans="1:14" x14ac:dyDescent="0.25">
      <c r="A212" s="4" t="s">
        <v>186</v>
      </c>
      <c r="B212" s="4" t="s">
        <v>27</v>
      </c>
      <c r="C212">
        <v>410</v>
      </c>
      <c r="D212">
        <v>498</v>
      </c>
      <c r="E212">
        <v>468</v>
      </c>
      <c r="F212">
        <v>445</v>
      </c>
      <c r="G212">
        <v>459</v>
      </c>
      <c r="H212">
        <v>514</v>
      </c>
      <c r="I212">
        <v>562</v>
      </c>
      <c r="J212">
        <v>595</v>
      </c>
      <c r="K212">
        <v>521</v>
      </c>
      <c r="L212">
        <v>395</v>
      </c>
      <c r="M212">
        <v>517</v>
      </c>
      <c r="N212">
        <v>413</v>
      </c>
    </row>
    <row r="213" spans="1:14" x14ac:dyDescent="0.25">
      <c r="A213" s="4" t="s">
        <v>186</v>
      </c>
      <c r="B213" s="4" t="s">
        <v>28</v>
      </c>
      <c r="C213">
        <v>324</v>
      </c>
      <c r="D213">
        <v>456</v>
      </c>
      <c r="E213">
        <v>454</v>
      </c>
      <c r="F213">
        <v>419</v>
      </c>
      <c r="G213">
        <v>366</v>
      </c>
      <c r="H213">
        <v>444</v>
      </c>
      <c r="I213">
        <v>476</v>
      </c>
      <c r="J213">
        <v>502</v>
      </c>
      <c r="K213">
        <v>525</v>
      </c>
      <c r="L213">
        <v>317</v>
      </c>
      <c r="M213">
        <v>353</v>
      </c>
      <c r="N213">
        <v>343</v>
      </c>
    </row>
    <row r="214" spans="1:14" x14ac:dyDescent="0.25">
      <c r="A214" s="4" t="s">
        <v>186</v>
      </c>
      <c r="B214" s="4" t="s">
        <v>29</v>
      </c>
      <c r="C214">
        <v>170</v>
      </c>
      <c r="D214">
        <v>379</v>
      </c>
      <c r="E214">
        <v>329</v>
      </c>
      <c r="F214">
        <v>352</v>
      </c>
      <c r="G214">
        <v>238</v>
      </c>
      <c r="H214" s="4">
        <v>362</v>
      </c>
      <c r="I214" s="4">
        <v>401</v>
      </c>
      <c r="J214" s="4">
        <v>372</v>
      </c>
      <c r="K214" s="4">
        <v>411</v>
      </c>
      <c r="L214">
        <v>152</v>
      </c>
      <c r="M214">
        <v>146</v>
      </c>
      <c r="N214">
        <v>141</v>
      </c>
    </row>
    <row r="215" spans="1:14" x14ac:dyDescent="0.25">
      <c r="A215" s="4" t="s">
        <v>186</v>
      </c>
      <c r="B215" s="4" t="s">
        <v>30</v>
      </c>
      <c r="C215">
        <v>12</v>
      </c>
      <c r="D215">
        <v>254</v>
      </c>
      <c r="E215">
        <v>237</v>
      </c>
      <c r="F215">
        <v>135</v>
      </c>
      <c r="G215">
        <v>129</v>
      </c>
      <c r="H215">
        <v>186</v>
      </c>
      <c r="I215">
        <v>212</v>
      </c>
      <c r="J215">
        <v>205</v>
      </c>
      <c r="K215">
        <v>275</v>
      </c>
      <c r="L215">
        <v>7</v>
      </c>
      <c r="M215">
        <v>0</v>
      </c>
      <c r="N215">
        <v>0</v>
      </c>
    </row>
    <row r="216" spans="1:14" x14ac:dyDescent="0.25">
      <c r="A216" s="4" t="s">
        <v>186</v>
      </c>
      <c r="B216" s="4" t="s">
        <v>31</v>
      </c>
      <c r="C216">
        <v>0</v>
      </c>
      <c r="D216">
        <v>26</v>
      </c>
      <c r="E216">
        <v>37</v>
      </c>
      <c r="F216">
        <v>0</v>
      </c>
      <c r="G216">
        <v>2</v>
      </c>
      <c r="H216">
        <v>21</v>
      </c>
      <c r="I216">
        <v>23</v>
      </c>
      <c r="J216">
        <v>4</v>
      </c>
      <c r="K216">
        <v>48</v>
      </c>
      <c r="L216">
        <v>0</v>
      </c>
      <c r="M216">
        <v>0</v>
      </c>
      <c r="N216">
        <v>0</v>
      </c>
    </row>
    <row r="217" spans="1:14" x14ac:dyDescent="0.25">
      <c r="A217" s="4" t="s">
        <v>186</v>
      </c>
      <c r="B217" s="4" t="s">
        <v>32</v>
      </c>
      <c r="C217">
        <v>0</v>
      </c>
      <c r="D217">
        <v>0</v>
      </c>
      <c r="E217">
        <v>0</v>
      </c>
      <c r="F217">
        <v>0</v>
      </c>
      <c r="G217">
        <v>0</v>
      </c>
      <c r="H217">
        <v>0</v>
      </c>
      <c r="I217">
        <v>0</v>
      </c>
      <c r="J217">
        <v>0</v>
      </c>
      <c r="K217">
        <v>0</v>
      </c>
      <c r="L217">
        <v>0</v>
      </c>
      <c r="M217">
        <v>0</v>
      </c>
      <c r="N217">
        <v>0</v>
      </c>
    </row>
    <row r="218" spans="1:14" x14ac:dyDescent="0.25">
      <c r="A218" s="4" t="s">
        <v>186</v>
      </c>
      <c r="B218" s="4" t="s">
        <v>33</v>
      </c>
      <c r="C218" s="4">
        <v>0</v>
      </c>
      <c r="D218" s="4">
        <v>0</v>
      </c>
      <c r="E218" s="4">
        <v>0</v>
      </c>
      <c r="F218" s="4">
        <v>0</v>
      </c>
      <c r="G218" s="4">
        <v>0</v>
      </c>
      <c r="H218" s="4">
        <v>0</v>
      </c>
      <c r="I218" s="4">
        <v>0</v>
      </c>
      <c r="J218" s="4">
        <v>0</v>
      </c>
      <c r="K218" s="4">
        <v>0</v>
      </c>
      <c r="L218" s="4">
        <v>0</v>
      </c>
      <c r="M218" s="4">
        <v>0</v>
      </c>
      <c r="N218" s="4">
        <v>0</v>
      </c>
    </row>
    <row r="219" spans="1:14" x14ac:dyDescent="0.25">
      <c r="A219" s="4" t="s">
        <v>186</v>
      </c>
      <c r="B219" s="4" t="s">
        <v>34</v>
      </c>
      <c r="C219">
        <v>0</v>
      </c>
      <c r="D219">
        <v>0</v>
      </c>
      <c r="E219">
        <v>0</v>
      </c>
      <c r="F219">
        <v>0</v>
      </c>
      <c r="G219">
        <v>0</v>
      </c>
      <c r="H219">
        <v>0</v>
      </c>
      <c r="I219">
        <v>0</v>
      </c>
      <c r="J219">
        <v>0</v>
      </c>
      <c r="K219">
        <v>0</v>
      </c>
      <c r="L219">
        <v>0</v>
      </c>
      <c r="M219">
        <v>0</v>
      </c>
      <c r="N219">
        <v>0</v>
      </c>
    </row>
    <row r="220" spans="1:14" x14ac:dyDescent="0.25">
      <c r="A220" s="4" t="s">
        <v>186</v>
      </c>
      <c r="B220" s="4" t="s">
        <v>35</v>
      </c>
      <c r="C220">
        <v>0</v>
      </c>
      <c r="D220">
        <v>0</v>
      </c>
      <c r="E220">
        <v>0</v>
      </c>
      <c r="F220">
        <v>0</v>
      </c>
      <c r="G220">
        <v>0</v>
      </c>
      <c r="H220">
        <v>0</v>
      </c>
      <c r="I220">
        <v>0</v>
      </c>
      <c r="J220">
        <v>0</v>
      </c>
      <c r="K220">
        <v>0</v>
      </c>
      <c r="L220">
        <v>0</v>
      </c>
      <c r="M220">
        <v>0</v>
      </c>
      <c r="N220">
        <v>0</v>
      </c>
    </row>
    <row r="221" spans="1:14" x14ac:dyDescent="0.25">
      <c r="A221" s="4" t="s">
        <v>186</v>
      </c>
      <c r="B221" s="4" t="s">
        <v>36</v>
      </c>
      <c r="C221">
        <v>0</v>
      </c>
      <c r="D221">
        <v>0</v>
      </c>
      <c r="E221">
        <v>0</v>
      </c>
      <c r="F221">
        <v>0</v>
      </c>
      <c r="G221">
        <v>0</v>
      </c>
      <c r="H221">
        <v>0</v>
      </c>
      <c r="I221">
        <v>0</v>
      </c>
      <c r="J221">
        <v>0</v>
      </c>
      <c r="K221">
        <v>0</v>
      </c>
      <c r="L221">
        <v>0</v>
      </c>
      <c r="M221">
        <v>0</v>
      </c>
      <c r="N221">
        <v>0</v>
      </c>
    </row>
    <row r="222" spans="1:14" x14ac:dyDescent="0.25">
      <c r="A222" s="4" t="s">
        <v>186</v>
      </c>
      <c r="B222" s="4" t="s">
        <v>249</v>
      </c>
      <c r="C222" s="4" t="s">
        <v>250</v>
      </c>
      <c r="D222">
        <v>14</v>
      </c>
      <c r="E222" s="4">
        <v>14</v>
      </c>
      <c r="F222">
        <v>13</v>
      </c>
      <c r="G222">
        <v>12</v>
      </c>
      <c r="H222" s="4" t="s">
        <v>377</v>
      </c>
      <c r="I222" s="4" t="s">
        <v>250</v>
      </c>
      <c r="J222">
        <v>12</v>
      </c>
      <c r="K222">
        <v>14</v>
      </c>
      <c r="L222" s="4" t="s">
        <v>378</v>
      </c>
      <c r="M222">
        <v>13</v>
      </c>
      <c r="N222" s="4" t="s">
        <v>250</v>
      </c>
    </row>
    <row r="223" spans="1:14" x14ac:dyDescent="0.25">
      <c r="A223" s="4" t="s">
        <v>186</v>
      </c>
      <c r="B223" s="4" t="s">
        <v>194</v>
      </c>
      <c r="C223">
        <v>1</v>
      </c>
      <c r="D223">
        <v>1</v>
      </c>
      <c r="E223">
        <v>1</v>
      </c>
      <c r="F223">
        <v>1</v>
      </c>
      <c r="G223">
        <v>1</v>
      </c>
      <c r="H223">
        <v>1</v>
      </c>
      <c r="I223">
        <v>1</v>
      </c>
      <c r="J223">
        <v>1</v>
      </c>
      <c r="K223">
        <v>1</v>
      </c>
      <c r="L223">
        <v>1</v>
      </c>
      <c r="M223">
        <v>1</v>
      </c>
      <c r="N223">
        <v>1</v>
      </c>
    </row>
    <row r="224" spans="1:14" x14ac:dyDescent="0.25">
      <c r="A224" s="4" t="s">
        <v>256</v>
      </c>
    </row>
    <row r="225" spans="1:14" x14ac:dyDescent="0.25">
      <c r="A225" s="4" t="s">
        <v>251</v>
      </c>
    </row>
    <row r="226" spans="1:14" x14ac:dyDescent="0.25">
      <c r="A226" s="4" t="s">
        <v>186</v>
      </c>
      <c r="B226" s="4" t="s">
        <v>0</v>
      </c>
      <c r="C226" s="4" t="s">
        <v>1</v>
      </c>
      <c r="D226" s="4" t="s">
        <v>2</v>
      </c>
      <c r="E226" s="4" t="s">
        <v>3</v>
      </c>
      <c r="F226" s="4" t="s">
        <v>4</v>
      </c>
      <c r="G226" s="4" t="s">
        <v>5</v>
      </c>
      <c r="H226" s="4" t="s">
        <v>6</v>
      </c>
      <c r="I226" s="4" t="s">
        <v>7</v>
      </c>
      <c r="J226" s="4" t="s">
        <v>8</v>
      </c>
      <c r="K226" s="4" t="s">
        <v>9</v>
      </c>
      <c r="L226" s="4" t="s">
        <v>10</v>
      </c>
      <c r="M226" s="4" t="s">
        <v>11</v>
      </c>
      <c r="N226" s="4" t="s">
        <v>12</v>
      </c>
    </row>
    <row r="227" spans="1:14" x14ac:dyDescent="0.25">
      <c r="A227" s="4" t="s">
        <v>186</v>
      </c>
      <c r="B227" s="4" t="s">
        <v>252</v>
      </c>
      <c r="C227">
        <v>23.7</v>
      </c>
      <c r="D227">
        <v>23</v>
      </c>
      <c r="E227">
        <v>22.8</v>
      </c>
      <c r="F227">
        <v>23</v>
      </c>
      <c r="G227">
        <v>24</v>
      </c>
      <c r="H227">
        <v>25</v>
      </c>
      <c r="I227">
        <v>26</v>
      </c>
      <c r="J227">
        <v>26.8</v>
      </c>
      <c r="K227">
        <v>27</v>
      </c>
      <c r="L227">
        <v>26.6</v>
      </c>
      <c r="M227">
        <v>25.8</v>
      </c>
      <c r="N227">
        <v>24.8</v>
      </c>
    </row>
    <row r="228" spans="1:14" x14ac:dyDescent="0.25">
      <c r="A228" s="4" t="s">
        <v>186</v>
      </c>
      <c r="B228" s="4" t="s">
        <v>253</v>
      </c>
      <c r="C228">
        <v>24.4</v>
      </c>
      <c r="D228">
        <v>23.7</v>
      </c>
      <c r="E228">
        <v>23.4</v>
      </c>
      <c r="F228">
        <v>23.4</v>
      </c>
      <c r="G228">
        <v>23.9</v>
      </c>
      <c r="H228">
        <v>24.6</v>
      </c>
      <c r="I228">
        <v>25.4</v>
      </c>
      <c r="J228">
        <v>26.1</v>
      </c>
      <c r="K228">
        <v>26.4</v>
      </c>
      <c r="L228">
        <v>26.4</v>
      </c>
      <c r="M228">
        <v>25.9</v>
      </c>
      <c r="N228">
        <v>25.2</v>
      </c>
    </row>
    <row r="229" spans="1:14" x14ac:dyDescent="0.25">
      <c r="A229" s="4" t="s">
        <v>186</v>
      </c>
      <c r="B229" s="4" t="s">
        <v>254</v>
      </c>
      <c r="C229" s="4">
        <v>24.8</v>
      </c>
      <c r="D229" s="4">
        <v>24.3</v>
      </c>
      <c r="E229" s="4">
        <v>23.9</v>
      </c>
      <c r="F229" s="4">
        <v>23.9</v>
      </c>
      <c r="G229" s="4">
        <v>24</v>
      </c>
      <c r="H229" s="4">
        <v>24.5</v>
      </c>
      <c r="I229" s="4">
        <v>25</v>
      </c>
      <c r="J229" s="4">
        <v>25.5</v>
      </c>
      <c r="K229" s="4">
        <v>25.9</v>
      </c>
      <c r="L229" s="4">
        <v>25.9</v>
      </c>
      <c r="M229" s="4">
        <v>25.7</v>
      </c>
      <c r="N229" s="4">
        <v>25.3</v>
      </c>
    </row>
    <row r="230" spans="1:14" x14ac:dyDescent="0.25">
      <c r="A230" s="4" t="s">
        <v>186</v>
      </c>
      <c r="B230" s="4" t="s">
        <v>260</v>
      </c>
      <c r="C230">
        <v>810</v>
      </c>
      <c r="D230">
        <v>635</v>
      </c>
      <c r="E230">
        <v>563</v>
      </c>
      <c r="F230">
        <v>252</v>
      </c>
      <c r="G230">
        <v>54</v>
      </c>
      <c r="H230">
        <v>4</v>
      </c>
      <c r="I230">
        <v>0</v>
      </c>
      <c r="J230">
        <v>3</v>
      </c>
      <c r="K230">
        <v>75</v>
      </c>
      <c r="L230">
        <v>196</v>
      </c>
      <c r="M230">
        <v>563</v>
      </c>
      <c r="N230">
        <v>736</v>
      </c>
    </row>
    <row r="231" spans="1:14" x14ac:dyDescent="0.25">
      <c r="A231" s="4" t="s">
        <v>255</v>
      </c>
      <c r="B231" s="4" t="s">
        <v>261</v>
      </c>
      <c r="C231">
        <v>1058</v>
      </c>
      <c r="D231">
        <v>859</v>
      </c>
      <c r="E231">
        <v>811</v>
      </c>
      <c r="F231">
        <v>489</v>
      </c>
      <c r="G231">
        <v>222</v>
      </c>
      <c r="H231">
        <v>95</v>
      </c>
      <c r="I231">
        <v>45</v>
      </c>
      <c r="J231">
        <v>108</v>
      </c>
      <c r="K231">
        <v>278</v>
      </c>
      <c r="L231">
        <v>439</v>
      </c>
      <c r="M231">
        <v>803</v>
      </c>
      <c r="N231">
        <v>984</v>
      </c>
    </row>
    <row r="232" spans="1:14" x14ac:dyDescent="0.25">
      <c r="A232" s="4" t="s">
        <v>256</v>
      </c>
    </row>
    <row r="233" spans="1:14" x14ac:dyDescent="0.25">
      <c r="A233" s="4" t="s">
        <v>257</v>
      </c>
      <c r="B233" s="4" t="s">
        <v>262</v>
      </c>
      <c r="C233">
        <v>0</v>
      </c>
      <c r="D233">
        <v>0</v>
      </c>
      <c r="E233">
        <v>0</v>
      </c>
      <c r="F233">
        <v>4</v>
      </c>
      <c r="G233">
        <v>102</v>
      </c>
      <c r="H233">
        <v>158</v>
      </c>
      <c r="I233">
        <v>229</v>
      </c>
      <c r="J233">
        <v>151</v>
      </c>
      <c r="K233">
        <v>38</v>
      </c>
      <c r="L233">
        <v>4</v>
      </c>
      <c r="M233">
        <v>0</v>
      </c>
      <c r="N233">
        <v>0</v>
      </c>
    </row>
    <row r="234" spans="1:14" x14ac:dyDescent="0.25">
      <c r="A234" s="4" t="s">
        <v>258</v>
      </c>
      <c r="B234" s="4" t="s">
        <v>263</v>
      </c>
      <c r="C234">
        <v>0</v>
      </c>
      <c r="D234">
        <v>0</v>
      </c>
      <c r="E234">
        <v>0</v>
      </c>
      <c r="F234">
        <v>0</v>
      </c>
      <c r="G234">
        <v>22</v>
      </c>
      <c r="H234">
        <v>8</v>
      </c>
      <c r="I234">
        <v>26</v>
      </c>
      <c r="J234">
        <v>9</v>
      </c>
      <c r="K234">
        <v>0</v>
      </c>
      <c r="L234">
        <v>0</v>
      </c>
      <c r="M234">
        <v>0</v>
      </c>
      <c r="N234">
        <v>0</v>
      </c>
    </row>
    <row r="236" spans="1:14" x14ac:dyDescent="0.25">
      <c r="A236" s="4" t="s">
        <v>259</v>
      </c>
      <c r="B236" s="4" t="s">
        <v>264</v>
      </c>
      <c r="C236">
        <v>0</v>
      </c>
      <c r="D236">
        <v>0</v>
      </c>
      <c r="E236">
        <v>0</v>
      </c>
      <c r="F236">
        <v>3</v>
      </c>
      <c r="G236">
        <v>560</v>
      </c>
      <c r="H236">
        <v>406</v>
      </c>
      <c r="I236">
        <v>877</v>
      </c>
      <c r="J236">
        <v>440</v>
      </c>
      <c r="K236">
        <v>85</v>
      </c>
      <c r="L236">
        <v>3</v>
      </c>
      <c r="M236">
        <v>0</v>
      </c>
      <c r="N236">
        <v>0</v>
      </c>
    </row>
    <row r="237" spans="1:14" x14ac:dyDescent="0.25">
      <c r="A237" s="4" t="s">
        <v>186</v>
      </c>
      <c r="B237" s="4" t="s">
        <v>0</v>
      </c>
      <c r="C237" s="4" t="s">
        <v>1</v>
      </c>
      <c r="D237" s="4" t="s">
        <v>2</v>
      </c>
      <c r="E237" s="4" t="s">
        <v>3</v>
      </c>
      <c r="F237" s="4" t="s">
        <v>4</v>
      </c>
      <c r="G237" s="4" t="s">
        <v>5</v>
      </c>
      <c r="H237" s="4" t="s">
        <v>6</v>
      </c>
      <c r="I237" s="4" t="s">
        <v>7</v>
      </c>
      <c r="J237" s="4" t="s">
        <v>8</v>
      </c>
      <c r="K237" s="4" t="s">
        <v>9</v>
      </c>
      <c r="L237" s="4" t="s">
        <v>10</v>
      </c>
      <c r="M237" s="4" t="s">
        <v>11</v>
      </c>
      <c r="N237" s="4" t="s">
        <v>12</v>
      </c>
    </row>
    <row r="238" spans="1:14" x14ac:dyDescent="0.25">
      <c r="A238" s="4" t="s">
        <v>186</v>
      </c>
      <c r="B238" s="4" t="s">
        <v>260</v>
      </c>
      <c r="C238">
        <v>0</v>
      </c>
      <c r="D238">
        <v>0</v>
      </c>
      <c r="E238">
        <v>0</v>
      </c>
      <c r="F238">
        <v>0</v>
      </c>
      <c r="G238">
        <v>0</v>
      </c>
      <c r="H238">
        <v>0</v>
      </c>
      <c r="I238">
        <v>0</v>
      </c>
      <c r="J238">
        <v>0</v>
      </c>
      <c r="K238">
        <v>0</v>
      </c>
      <c r="L238">
        <v>0</v>
      </c>
      <c r="M238">
        <v>0</v>
      </c>
      <c r="N238">
        <v>0</v>
      </c>
    </row>
    <row r="239" spans="1:14" x14ac:dyDescent="0.25">
      <c r="A239" s="4" t="s">
        <v>186</v>
      </c>
      <c r="B239" s="4" t="s">
        <v>261</v>
      </c>
      <c r="C239">
        <v>0</v>
      </c>
      <c r="D239">
        <v>0</v>
      </c>
      <c r="E239">
        <v>0</v>
      </c>
      <c r="F239">
        <v>0</v>
      </c>
      <c r="G239">
        <v>0</v>
      </c>
      <c r="H239">
        <v>0</v>
      </c>
      <c r="I239">
        <v>0</v>
      </c>
      <c r="J239">
        <v>0</v>
      </c>
      <c r="K239">
        <v>0</v>
      </c>
      <c r="L239">
        <v>0</v>
      </c>
      <c r="M239">
        <v>0</v>
      </c>
      <c r="N239">
        <v>0</v>
      </c>
    </row>
    <row r="240" spans="1:14" x14ac:dyDescent="0.25">
      <c r="A240" s="4" t="s">
        <v>301</v>
      </c>
    </row>
    <row r="241" spans="1:14" x14ac:dyDescent="0.25">
      <c r="A241" s="4" t="s">
        <v>186</v>
      </c>
      <c r="B241" s="4" t="s">
        <v>262</v>
      </c>
      <c r="C241">
        <v>387</v>
      </c>
      <c r="D241">
        <v>359</v>
      </c>
      <c r="E241">
        <v>408</v>
      </c>
      <c r="F241">
        <v>413</v>
      </c>
      <c r="G241">
        <v>472</v>
      </c>
      <c r="H241">
        <v>476</v>
      </c>
      <c r="I241">
        <v>524</v>
      </c>
      <c r="J241">
        <v>529</v>
      </c>
      <c r="K241">
        <v>506</v>
      </c>
      <c r="L241">
        <v>503</v>
      </c>
      <c r="M241">
        <v>443</v>
      </c>
      <c r="N241">
        <v>424</v>
      </c>
    </row>
    <row r="242" spans="1:14" x14ac:dyDescent="0.25">
      <c r="A242" s="4" t="s">
        <v>186</v>
      </c>
      <c r="B242" s="4" t="s">
        <v>263</v>
      </c>
      <c r="C242">
        <v>139</v>
      </c>
      <c r="D242">
        <v>135</v>
      </c>
      <c r="E242">
        <v>160</v>
      </c>
      <c r="F242">
        <v>173</v>
      </c>
      <c r="G242">
        <v>224</v>
      </c>
      <c r="H242">
        <v>236</v>
      </c>
      <c r="I242">
        <v>276</v>
      </c>
      <c r="J242">
        <v>281</v>
      </c>
      <c r="K242">
        <v>266</v>
      </c>
      <c r="L242">
        <v>255</v>
      </c>
      <c r="M242">
        <v>203</v>
      </c>
      <c r="N242">
        <v>176</v>
      </c>
    </row>
    <row r="243" spans="1:14" x14ac:dyDescent="0.25">
      <c r="A243" s="4" t="s">
        <v>302</v>
      </c>
    </row>
    <row r="244" spans="1:14" x14ac:dyDescent="0.25">
      <c r="A244" s="4" t="s">
        <v>186</v>
      </c>
      <c r="B244" s="4" t="s">
        <v>264</v>
      </c>
      <c r="C244">
        <v>1999</v>
      </c>
      <c r="D244">
        <v>2096</v>
      </c>
      <c r="E244">
        <v>2574</v>
      </c>
      <c r="F244">
        <v>2719</v>
      </c>
      <c r="G244">
        <v>3898</v>
      </c>
      <c r="H244">
        <v>4224</v>
      </c>
      <c r="I244">
        <v>5135</v>
      </c>
      <c r="J244">
        <v>5256</v>
      </c>
      <c r="K244">
        <v>4949</v>
      </c>
      <c r="L244">
        <v>4626</v>
      </c>
      <c r="M244">
        <v>3482</v>
      </c>
      <c r="N244">
        <v>2801</v>
      </c>
    </row>
    <row r="245" spans="1:14" x14ac:dyDescent="0.25">
      <c r="A245" s="4" t="s">
        <v>186</v>
      </c>
      <c r="B245" s="4" t="s">
        <v>265</v>
      </c>
      <c r="C245">
        <v>685</v>
      </c>
      <c r="D245">
        <v>775</v>
      </c>
      <c r="E245">
        <v>1032</v>
      </c>
      <c r="F245">
        <v>1061</v>
      </c>
      <c r="G245">
        <v>1855</v>
      </c>
      <c r="H245">
        <v>2096</v>
      </c>
      <c r="I245">
        <v>2904</v>
      </c>
      <c r="J245">
        <v>3048</v>
      </c>
      <c r="K245">
        <v>2792</v>
      </c>
      <c r="L245">
        <v>2556</v>
      </c>
      <c r="M245">
        <v>1597</v>
      </c>
      <c r="N245">
        <v>1052</v>
      </c>
    </row>
    <row r="246" spans="1:14" x14ac:dyDescent="0.25">
      <c r="A246" s="4" t="s">
        <v>186</v>
      </c>
      <c r="B246" s="4" t="s">
        <v>266</v>
      </c>
      <c r="C246">
        <v>55</v>
      </c>
      <c r="D246">
        <v>43</v>
      </c>
      <c r="E246">
        <v>99</v>
      </c>
      <c r="F246">
        <v>124</v>
      </c>
      <c r="G246">
        <v>384</v>
      </c>
      <c r="H246">
        <v>342</v>
      </c>
      <c r="I246">
        <v>760</v>
      </c>
      <c r="J246">
        <v>933</v>
      </c>
      <c r="K246">
        <v>653</v>
      </c>
      <c r="L246">
        <v>748</v>
      </c>
      <c r="M246">
        <v>264</v>
      </c>
      <c r="N246">
        <v>89</v>
      </c>
    </row>
    <row r="247" spans="1:14" x14ac:dyDescent="0.25">
      <c r="A247" s="4" t="s">
        <v>303</v>
      </c>
    </row>
    <row r="248" spans="1:14" x14ac:dyDescent="0.25">
      <c r="A248" s="4" t="s">
        <v>379</v>
      </c>
    </row>
    <row r="249" spans="1:14" x14ac:dyDescent="0.25">
      <c r="A249" s="4" t="s">
        <v>380</v>
      </c>
    </row>
    <row r="251" spans="1:14" x14ac:dyDescent="0.25">
      <c r="A251" s="4" t="s">
        <v>381</v>
      </c>
    </row>
    <row r="252" spans="1:14" x14ac:dyDescent="0.25">
      <c r="A252" s="4" t="s">
        <v>382</v>
      </c>
    </row>
    <row r="253" spans="1:14" x14ac:dyDescent="0.25">
      <c r="A253" s="4" t="s">
        <v>269</v>
      </c>
    </row>
    <row r="254" spans="1:14" x14ac:dyDescent="0.25">
      <c r="A254" s="4" t="s">
        <v>383</v>
      </c>
    </row>
    <row r="255" spans="1:14" x14ac:dyDescent="0.25">
      <c r="A255" s="4" t="s">
        <v>384</v>
      </c>
    </row>
    <row r="256" spans="1:14" x14ac:dyDescent="0.25">
      <c r="A256" s="4" t="s">
        <v>267</v>
      </c>
    </row>
    <row r="257" spans="1:1" x14ac:dyDescent="0.25">
      <c r="A257" s="4" t="s">
        <v>268</v>
      </c>
    </row>
    <row r="258" spans="1:1" x14ac:dyDescent="0.25">
      <c r="A258" s="4" t="s">
        <v>268</v>
      </c>
    </row>
    <row r="259" spans="1:1" x14ac:dyDescent="0.25">
      <c r="A259" s="4" t="s">
        <v>385</v>
      </c>
    </row>
    <row r="260" spans="1:1" x14ac:dyDescent="0.25">
      <c r="A260" s="4" t="s">
        <v>386</v>
      </c>
    </row>
    <row r="261" spans="1:1" x14ac:dyDescent="0.25">
      <c r="A261" s="4" t="s">
        <v>269</v>
      </c>
    </row>
    <row r="262" spans="1:1" x14ac:dyDescent="0.25">
      <c r="A262" s="4" t="s">
        <v>268</v>
      </c>
    </row>
    <row r="263" spans="1:1" x14ac:dyDescent="0.25">
      <c r="A263" s="4" t="s">
        <v>268</v>
      </c>
    </row>
    <row r="264" spans="1:1" x14ac:dyDescent="0.25">
      <c r="A264" s="4" t="s">
        <v>270</v>
      </c>
    </row>
    <row r="265" spans="1:1" x14ac:dyDescent="0.25">
      <c r="A265" s="4" t="s">
        <v>387</v>
      </c>
    </row>
    <row r="266" spans="1:1" x14ac:dyDescent="0.25">
      <c r="A266" s="4" t="s">
        <v>388</v>
      </c>
    </row>
    <row r="267" spans="1:1" x14ac:dyDescent="0.25">
      <c r="A267" s="4" t="s">
        <v>389</v>
      </c>
    </row>
    <row r="268" spans="1:1" x14ac:dyDescent="0.25">
      <c r="A268" s="4" t="s">
        <v>390</v>
      </c>
    </row>
    <row r="269" spans="1:1" x14ac:dyDescent="0.25">
      <c r="A269" s="4" t="s">
        <v>388</v>
      </c>
    </row>
    <row r="270" spans="1:1" x14ac:dyDescent="0.25">
      <c r="A270" s="4" t="s">
        <v>391</v>
      </c>
    </row>
    <row r="271" spans="1:1" x14ac:dyDescent="0.25">
      <c r="A271" s="4" t="s">
        <v>392</v>
      </c>
    </row>
    <row r="272" spans="1:1" x14ac:dyDescent="0.25">
      <c r="A272" s="4" t="s">
        <v>393</v>
      </c>
    </row>
    <row r="273" spans="1:1" x14ac:dyDescent="0.25">
      <c r="A273" s="4" t="s">
        <v>394</v>
      </c>
    </row>
    <row r="274" spans="1:1" x14ac:dyDescent="0.25">
      <c r="A274" s="4" t="s">
        <v>395</v>
      </c>
    </row>
    <row r="275" spans="1:1" x14ac:dyDescent="0.25">
      <c r="A275" s="4" t="s">
        <v>396</v>
      </c>
    </row>
    <row r="276" spans="1:1" x14ac:dyDescent="0.25">
      <c r="A276" s="4" t="s">
        <v>328</v>
      </c>
    </row>
    <row r="277" spans="1:1" x14ac:dyDescent="0.25">
      <c r="A277" s="4" t="s">
        <v>304</v>
      </c>
    </row>
    <row r="278" spans="1:1" x14ac:dyDescent="0.25">
      <c r="A278" s="4" t="s">
        <v>271</v>
      </c>
    </row>
    <row r="279" spans="1:1" x14ac:dyDescent="0.25">
      <c r="A279" s="4" t="s">
        <v>272</v>
      </c>
    </row>
    <row r="280" spans="1:1" x14ac:dyDescent="0.25">
      <c r="A280" s="4" t="s">
        <v>329</v>
      </c>
    </row>
    <row r="281" spans="1:1" x14ac:dyDescent="0.25">
      <c r="A281" s="4" t="s">
        <v>305</v>
      </c>
    </row>
    <row r="282" spans="1:1" x14ac:dyDescent="0.25">
      <c r="A282" s="4" t="s">
        <v>273</v>
      </c>
    </row>
    <row r="283" spans="1:1" x14ac:dyDescent="0.25">
      <c r="A283" s="4" t="s">
        <v>274</v>
      </c>
    </row>
    <row r="284" spans="1:1" x14ac:dyDescent="0.25">
      <c r="A284" s="4" t="s">
        <v>330</v>
      </c>
    </row>
    <row r="285" spans="1:1" x14ac:dyDescent="0.25">
      <c r="A285" s="4" t="s">
        <v>306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Entry</vt:lpstr>
      <vt:lpstr>Calcs</vt:lpstr>
      <vt:lpstr>Results</vt:lpstr>
      <vt:lpstr>Solar</vt:lpstr>
      <vt:lpstr>Weather</vt:lpstr>
      <vt:lpstr>Weather B</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Elliot</dc:creator>
  <cp:lastModifiedBy>Elliot</cp:lastModifiedBy>
  <dcterms:created xsi:type="dcterms:W3CDTF">2010-05-03T01:02:44Z</dcterms:created>
  <dcterms:modified xsi:type="dcterms:W3CDTF">2011-02-14T00:25:52Z</dcterms:modified>
</cp:coreProperties>
</file>